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 Clone\Assets\Excel\"/>
    </mc:Choice>
  </mc:AlternateContent>
  <xr:revisionPtr revIDLastSave="0" documentId="13_ncr:1_{56D95DC3-1CEB-4263-82F5-35D05AFC8B02}" xr6:coauthVersionLast="47" xr6:coauthVersionMax="47" xr10:uidLastSave="{00000000-0000-0000-0000-000000000000}"/>
  <bookViews>
    <workbookView xWindow="-120" yWindow="-120" windowWidth="29040" windowHeight="17520" activeTab="2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  <sheet name="Setup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4" l="1"/>
  <c r="E30" i="4"/>
  <c r="E27" i="4"/>
  <c r="E24" i="4"/>
  <c r="E23" i="4"/>
  <c r="L3" i="4"/>
  <c r="L2" i="4"/>
  <c r="L4" i="4"/>
  <c r="L32" i="4"/>
  <c r="L28" i="4"/>
  <c r="L25" i="4"/>
  <c r="L21" i="4"/>
  <c r="L18" i="4"/>
  <c r="L15" i="4"/>
  <c r="L12" i="4"/>
  <c r="L9" i="4"/>
  <c r="L34" i="4"/>
  <c r="L31" i="4"/>
  <c r="L26" i="4"/>
  <c r="L19" i="4"/>
  <c r="L13" i="4"/>
  <c r="L7" i="4"/>
  <c r="L6" i="4"/>
  <c r="F2" i="7"/>
  <c r="E2" i="7"/>
  <c r="J22" i="4"/>
  <c r="J21" i="4"/>
  <c r="J19" i="4"/>
  <c r="J18" i="4"/>
  <c r="J16" i="4"/>
  <c r="J15" i="4"/>
  <c r="J13" i="4"/>
  <c r="J12" i="4"/>
  <c r="D30" i="4"/>
  <c r="D33" i="4"/>
  <c r="J35" i="4"/>
  <c r="J34" i="4"/>
  <c r="J32" i="4"/>
  <c r="J31" i="4"/>
  <c r="J29" i="4"/>
  <c r="J28" i="4"/>
  <c r="D27" i="4"/>
  <c r="J26" i="4"/>
  <c r="J25" i="4"/>
  <c r="D24" i="4"/>
  <c r="D23" i="4"/>
  <c r="J10" i="4"/>
  <c r="J9" i="4"/>
  <c r="J7" i="4"/>
  <c r="J6" i="4"/>
  <c r="K3" i="2"/>
</calcChain>
</file>

<file path=xl/sharedStrings.xml><?xml version="1.0" encoding="utf-8"?>
<sst xmlns="http://schemas.openxmlformats.org/spreadsheetml/2006/main" count="1178" uniqueCount="692">
  <si>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</si>
  <si>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</si>
  <si>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</si>
  <si>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</si>
  <si>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</si>
  <si>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</si>
  <si>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</si>
  <si>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</si>
  <si>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</si>
  <si>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</si>
  <si>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</si>
  <si>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</si>
  <si>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</si>
  <si>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</si>
  <si>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</si>
  <si>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</si>
  <si>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</si>
  <si>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</si>
  <si>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</si>
  <si>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</si>
  <si>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</si>
  <si>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</si>
  <si>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</si>
  <si>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</si>
  <si>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</si>
  <si>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</si>
  <si>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</si>
  <si>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</si>
  <si>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</si>
  <si>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</si>
  <si>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</si>
  <si>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</si>
  <si>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</si>
  <si>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</si>
  <si>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</si>
  <si>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</si>
  <si>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</si>
  <si>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</si>
  <si>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</si>
  <si>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</si>
  <si>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</si>
  <si>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</si>
  <si>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</si>
  <si>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</si>
  <si>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</si>
  <si>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</si>
  <si>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</si>
  <si>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</si>
  <si>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</si>
  <si>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</si>
  <si>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</si>
  <si>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</si>
  <si>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</si>
  <si>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</si>
  <si>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</si>
  <si>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</si>
  <si>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</si>
  <si>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</si>
  <si>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</si>
  <si>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</si>
  <si>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</si>
  <si>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</si>
  <si>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</si>
  <si>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</si>
  <si>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</si>
  <si>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</si>
  <si>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</si>
  <si>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</si>
  <si>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</si>
  <si>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</si>
  <si>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</si>
  <si>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</si>
  <si>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</si>
  <si>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</si>
  <si>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</si>
  <si>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</si>
  <si>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</si>
  <si>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</si>
  <si>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</si>
  <si>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</si>
  <si>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</si>
  <si>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</si>
  <si>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</si>
  <si>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</si>
  <si>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</si>
  <si>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</si>
  <si>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</si>
  <si>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</si>
  <si>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</si>
  <si>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</si>
  <si>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</si>
  <si>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</si>
  <si>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</si>
  <si>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</si>
  <si>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</si>
  <si>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</si>
  <si>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</si>
  <si>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</si>
  <si>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</si>
  <si>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</si>
  <si>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</si>
  <si>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</si>
  <si>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</si>
  <si>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</si>
  <si>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</si>
  <si>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</si>
  <si>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</si>
  <si>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</si>
  <si>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</si>
  <si>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</si>
  <si>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</si>
  <si>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</si>
  <si>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</si>
  <si>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</si>
  <si>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</si>
  <si>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</si>
  <si>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</si>
  <si>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</si>
  <si>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</si>
  <si>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</si>
  <si>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</si>
  <si>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</si>
  <si>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</si>
  <si>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</si>
  <si>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</si>
  <si>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</si>
  <si>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</si>
  <si>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</si>
  <si>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</si>
  <si>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</si>
  <si>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</si>
  <si>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</si>
  <si>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</si>
  <si>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</si>
  <si>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</si>
  <si>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</si>
  <si>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</si>
  <si>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</si>
  <si>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</si>
  <si>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</si>
  <si>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</si>
  <si>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</si>
  <si>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</si>
  <si>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</si>
  <si>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</si>
  <si>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</si>
  <si>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</si>
  <si>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</si>
  <si>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</si>
  <si>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</si>
  <si>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</si>
  <si>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</si>
  <si>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</si>
  <si>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</si>
  <si>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</si>
  <si>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</si>
  <si>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</si>
  <si>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</si>
  <si>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</si>
  <si>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</si>
  <si>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</si>
  <si>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</si>
  <si>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</si>
  <si>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</si>
  <si>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</si>
  <si>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</si>
  <si>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</si>
  <si>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</si>
  <si>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</si>
  <si>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</si>
  <si>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</si>
  <si>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</si>
  <si>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</si>
  <si>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</si>
  <si>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</si>
  <si>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</si>
  <si>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</si>
  <si>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</si>
  <si>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</si>
  <si>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</si>
  <si>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</si>
  <si>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</si>
  <si>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</si>
  <si>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</si>
  <si>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</si>
  <si>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</si>
  <si>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</si>
  <si>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</si>
  <si>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</si>
  <si>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</si>
  <si>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</si>
  <si>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</si>
  <si>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</si>
  <si>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</si>
  <si>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</si>
  <si>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</si>
  <si>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</si>
  <si>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</si>
  <si>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</si>
  <si>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</si>
  <si>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</si>
  <si>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</si>
  <si>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</si>
  <si>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</si>
  <si>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</si>
  <si>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</si>
  <si>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</si>
  <si>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</si>
  <si>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</si>
  <si>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</si>
  <si>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</si>
  <si>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</si>
  <si>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</si>
  <si>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</si>
  <si>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</si>
  <si>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</si>
  <si>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</si>
  <si>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</si>
  <si>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</si>
  <si>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</si>
  <si>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</si>
  <si>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</si>
  <si>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</si>
  <si>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</si>
  <si>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</si>
  <si>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</si>
  <si>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</si>
  <si>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</si>
  <si>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</si>
  <si>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</si>
  <si>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</si>
  <si>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</si>
  <si>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</si>
  <si>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</si>
  <si>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</si>
  <si>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</si>
  <si>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</si>
  <si>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</si>
  <si>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</si>
  <si>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</si>
  <si>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</si>
  <si>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</si>
  <si>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</si>
  <si>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</si>
  <si>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</si>
  <si>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</si>
  <si>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</si>
  <si>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</si>
  <si>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</si>
  <si>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</si>
  <si>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</si>
  <si>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</si>
  <si>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</si>
  <si>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</si>
  <si>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</si>
  <si>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</si>
  <si>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</si>
  <si>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</si>
  <si>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</si>
  <si>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</si>
  <si>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</si>
  <si>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</si>
  <si>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</si>
  <si>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</si>
  <si>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</si>
  <si>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</si>
  <si>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</si>
  <si>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</si>
  <si>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</si>
  <si>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</si>
  <si>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</si>
  <si>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</si>
  <si>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</si>
  <si>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</si>
  <si>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</si>
  <si>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</si>
  <si>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</si>
  <si>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</si>
  <si>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</si>
  <si>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</si>
  <si>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</si>
  <si>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</si>
  <si>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</si>
  <si>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</si>
  <si>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</si>
  <si>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</si>
  <si>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</si>
  <si>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</si>
  <si>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</si>
  <si>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</si>
  <si>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</si>
  <si>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</si>
  <si>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</si>
  <si>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</si>
  <si>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</si>
  <si>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</si>
  <si>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</si>
  <si>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</si>
  <si>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</si>
  <si>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</si>
  <si>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</si>
  <si>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</si>
  <si>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</si>
  <si>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</si>
  <si>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</si>
  <si>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</si>
  <si>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</si>
  <si>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</si>
  <si>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</si>
  <si>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</si>
  <si>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</si>
  <si>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</si>
  <si>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</si>
  <si>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</si>
  <si>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</si>
  <si>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</si>
  <si>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</si>
  <si>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</si>
  <si>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</si>
  <si>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</si>
  <si>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</si>
  <si>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</si>
  <si>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</si>
  <si>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</si>
  <si>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</si>
  <si>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</si>
  <si>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</si>
  <si>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</si>
  <si>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</si>
  <si>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</si>
  <si>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</si>
  <si>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</si>
  <si>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</si>
  <si>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</si>
  <si>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</si>
  <si>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</si>
  <si>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</si>
  <si>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</si>
  <si>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</si>
  <si>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</si>
  <si>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</si>
  <si>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</si>
  <si>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</si>
  <si>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</si>
  <si>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</si>
  <si>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</si>
  <si>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</si>
  <si>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</si>
  <si>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</si>
  <si>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</si>
  <si>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</si>
  <si>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</si>
  <si>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</si>
  <si>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</si>
  <si>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</si>
  <si>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</si>
  <si>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</si>
  <si>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</si>
  <si>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</si>
  <si>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</si>
  <si>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</si>
  <si>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</si>
  <si>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</si>
  <si>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</si>
  <si>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</si>
  <si>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</si>
  <si>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</si>
  <si>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</si>
  <si>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</si>
  <si>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</si>
  <si>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</si>
  <si>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</si>
  <si>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</si>
  <si>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</si>
  <si>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</si>
  <si>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</si>
  <si>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</si>
  <si>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</si>
  <si>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</si>
  <si>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</si>
  <si>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</si>
  <si>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</si>
  <si>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</si>
  <si>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</si>
  <si>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</si>
  <si>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</si>
  <si>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</si>
  <si>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</si>
  <si>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</si>
  <si>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</si>
  <si>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</si>
  <si>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</si>
  <si>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</si>
  <si>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</si>
  <si>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</si>
  <si>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</si>
  <si>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</si>
  <si>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</si>
  <si>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</si>
  <si>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</si>
  <si>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</si>
  <si>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</si>
  <si>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</si>
  <si>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</si>
  <si>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</si>
  <si>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</si>
  <si>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</si>
  <si>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</si>
  <si>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</si>
  <si>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</si>
  <si>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</si>
  <si>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</si>
  <si>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</si>
  <si>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</si>
  <si>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</si>
  <si>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</si>
  <si>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</si>
  <si>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</si>
  <si>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</si>
  <si>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</si>
  <si>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</si>
  <si>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</si>
  <si>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</si>
  <si>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</si>
  <si>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</si>
  <si>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</si>
  <si>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</si>
  <si>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</si>
  <si>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</si>
  <si>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</si>
  <si>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</si>
  <si>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</si>
  <si>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</si>
  <si>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</si>
  <si>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</si>
  <si>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</si>
  <si>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</si>
  <si>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</si>
  <si>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</si>
  <si>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</si>
  <si>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</si>
  <si>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</si>
  <si>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</si>
  <si>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</si>
  <si>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</si>
  <si>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</si>
  <si>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</si>
  <si>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</si>
  <si>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</si>
  <si>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</si>
  <si>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</si>
  <si>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</si>
  <si>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</si>
  <si>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</si>
  <si>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</si>
  <si>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</si>
  <si>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</si>
  <si>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</si>
  <si>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</si>
  <si>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</si>
  <si>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</si>
  <si>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</si>
  <si>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</si>
  <si>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</si>
  <si>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</si>
  <si>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</si>
  <si>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</si>
  <si>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</si>
  <si>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</si>
  <si>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</si>
  <si>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</si>
  <si>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</si>
  <si>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</si>
  <si>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</si>
  <si>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</si>
  <si>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</si>
  <si>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</si>
  <si>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</si>
  <si>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</si>
  <si>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</si>
  <si>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</si>
  <si>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</si>
  <si>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</si>
  <si>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</si>
  <si>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</si>
  <si>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</si>
  <si>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</si>
  <si>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</si>
  <si>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</si>
  <si>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</si>
  <si>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</si>
  <si>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</si>
  <si>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</si>
  <si>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</si>
  <si>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</si>
  <si>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</si>
  <si>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</si>
  <si>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</si>
  <si>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</si>
  <si>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</si>
  <si>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</si>
  <si>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</si>
  <si>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</si>
  <si>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</si>
  <si>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</si>
  <si>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</si>
  <si>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</si>
  <si>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</si>
  <si>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</si>
  <si>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</si>
  <si>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</si>
  <si>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</si>
  <si>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</si>
  <si>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</si>
  <si>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</si>
  <si>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</si>
  <si>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</si>
  <si>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</si>
  <si>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</si>
  <si>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</si>
  <si>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</si>
  <si>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</si>
  <si>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</si>
  <si>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</si>
  <si>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</si>
  <si>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</si>
  <si>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</si>
  <si>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</si>
  <si>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</si>
  <si>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</si>
  <si>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</si>
  <si>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</si>
  <si>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</si>
  <si>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</si>
  <si>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</si>
  <si>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</si>
  <si>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</si>
  <si>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</si>
  <si>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</si>
  <si>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</si>
  <si>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</si>
  <si>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</si>
  <si>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</si>
  <si>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</si>
  <si>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</si>
  <si>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</si>
  <si>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</si>
  <si>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</si>
  <si>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</si>
  <si>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</si>
  <si>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</si>
  <si>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</si>
  <si>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</si>
  <si>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</si>
  <si>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</si>
  <si>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</si>
  <si>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</si>
  <si>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</si>
  <si>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</si>
  <si>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</si>
  <si>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</si>
  <si>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</si>
  <si>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</si>
  <si>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</si>
  <si>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</si>
  <si>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</si>
  <si>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</si>
  <si>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</si>
  <si>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</si>
  <si>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</si>
  <si>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</si>
  <si>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</si>
  <si>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</si>
  <si>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</si>
  <si>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</si>
  <si>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</si>
  <si>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</si>
  <si>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</si>
  <si>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</si>
  <si>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</si>
  <si>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</si>
  <si>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</si>
  <si>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</si>
  <si>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</si>
  <si>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</si>
  <si>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</si>
  <si>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</si>
  <si>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</si>
  <si>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</si>
  <si>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</si>
  <si>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</si>
  <si>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</si>
  <si>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</si>
  <si>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</si>
  <si>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</si>
  <si>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</si>
  <si>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</si>
  <si>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</si>
  <si>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</si>
  <si>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</si>
  <si>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</si>
  <si>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</si>
  <si>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</si>
  <si>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</si>
  <si>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</si>
  <si>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</si>
  <si>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</si>
  <si>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</si>
  <si>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</si>
  <si>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</si>
  <si>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</si>
  <si>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</si>
  <si>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</si>
  <si>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</si>
  <si>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</si>
  <si>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</si>
  <si>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</si>
  <si>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</si>
  <si>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</si>
  <si>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</si>
  <si>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</si>
  <si>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</si>
  <si>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</si>
  <si>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</si>
  <si>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</si>
  <si>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</si>
  <si>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</si>
  <si>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</si>
  <si>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</si>
  <si>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</si>
  <si>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</si>
  <si>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</si>
  <si>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</si>
  <si>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</si>
  <si>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</si>
  <si>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</si>
  <si>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</si>
  <si>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</si>
  <si>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</si>
  <si>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</si>
  <si>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</si>
  <si>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</si>
  <si>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</si>
  <si>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</si>
  <si>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</si>
  <si>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</si>
  <si>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</si>
  <si>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</si>
  <si>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</si>
  <si>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</si>
  <si>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</si>
  <si>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</si>
  <si>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</si>
  <si>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</si>
  <si>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</si>
  <si>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</si>
  <si>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</si>
  <si>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</si>
  <si>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</si>
  <si>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</si>
  <si>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</si>
  <si>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</si>
  <si>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</si>
  <si>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</si>
  <si>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</si>
  <si>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</si>
  <si>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</si>
  <si>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</si>
  <si>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</si>
  <si>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</si>
  <si>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</si>
  <si>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</si>
  <si>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</si>
  <si>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</si>
  <si>
    <t>Settings Name</t>
  </si>
  <si>
    <t>VALUE</t>
  </si>
  <si>
    <t>cal_per_oz_unit_conversion</t>
  </si>
  <si>
    <t>KCAL_PER_100_MLS</t>
  </si>
  <si>
    <t>KCAL_PER_OZ_DEFAULT</t>
  </si>
  <si>
    <t>KCAL_PER_ML</t>
  </si>
  <si>
    <t>ui/decimal/rounding/cals</t>
  </si>
  <si>
    <t>Scenario Name</t>
  </si>
  <si>
    <t>Product Name</t>
  </si>
  <si>
    <t>Split Powder Product to Assigned Patient</t>
  </si>
  <si>
    <t>Split Powder Product to Unassigned Patient</t>
  </si>
  <si>
    <t>Split Received RTU Product to Assigned Patient</t>
  </si>
  <si>
    <t>EHM Only</t>
  </si>
  <si>
    <t>EHM Only Label Note</t>
  </si>
  <si>
    <t>DHM Only</t>
  </si>
  <si>
    <t>DHM Only Label Note</t>
  </si>
  <si>
    <t>EHM or DHM</t>
  </si>
  <si>
    <t>EHM or DHM Label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</si>
</sst>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1F2226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3" fillId="0" borderId="0" xfId="0" applyFont="1"/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I3"/>
  <sheetViews>
    <sheetView workbookViewId="0">
      <selection activeCell="C47" sqref="C47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5.42578125" customWidth="1"/>
    <col min="6" max="6" width="12" bestFit="1" customWidth="1"/>
    <col min="7" max="7" width="17.7109375" bestFit="1" customWidth="1"/>
    <col min="8" max="8" width="26.28515625" bestFit="1" customWidth="1"/>
    <col min="9" max="9" width="11.140625" bestFit="1" customWidth="1"/>
  </cols>
  <sheetData>
    <row r="1" spans="1:9" x14ac:dyDescent="0.25">
      <c r="A1" t="s">
        <v>13</v>
      </c>
      <c r="B1" t="s">
        <v>14</v>
      </c>
      <c r="C1" t="s">
        <v>0</v>
      </c>
      <c r="D1" t="s">
        <v>15</v>
      </c>
      <c r="E1" t="s">
        <v>672</v>
      </c>
      <c r="F1" t="s">
        <v>16</v>
      </c>
      <c r="G1" t="s">
        <v>17</v>
      </c>
      <c r="H1" t="s">
        <v>18</v>
      </c>
      <c r="I1" t="s">
        <v>20</v>
      </c>
    </row>
    <row r="2" spans="1:9" x14ac:dyDescent="0.25">
      <c r="A2" t="s">
        <v>670</v>
      </c>
      <c r="B2" t="s">
        <v>665</v>
      </c>
      <c r="C2" t="s">
        <v>669</v>
      </c>
      <c r="D2" t="s">
        <v>669</v>
      </c>
      <c r="E2" t="s">
        <v>669</v>
      </c>
      <c r="I2" s="3">
        <v>27051</v>
      </c>
    </row>
    <row r="3" spans="1:9" x14ac:dyDescent="0.25">
      <c r="A3" t="s">
        <v>664</v>
      </c>
      <c r="B3" t="s">
        <v>1</v>
      </c>
      <c r="C3" t="s">
        <v>12</v>
      </c>
      <c r="D3" t="s">
        <v>12</v>
      </c>
      <c r="E3" t="s">
        <v>12</v>
      </c>
      <c r="F3">
        <v>1111111111</v>
      </c>
      <c r="G3" s="2">
        <v>2222222222</v>
      </c>
      <c r="H3" s="1" t="s">
        <v>2</v>
      </c>
      <c r="I3" s="3">
        <v>27051</v>
      </c>
    </row>
  </sheetData>
  <sheetProtection algorithmName="SHA-512" hashValue="5JICdRqqxYXeIxo3s7ABXwqA3CdXl1Qx/CB33mAalPM/AWLSeAP7I0TOvdEef55q79bdx/gdlpuo17qauqtC+w==" saltValue="XTo3w2aseXBxXE59h9TZNA==" spinCount="100000" sheet="1" objects="1" scenarios="1"/>
  <hyperlinks>
    <hyperlink ref="H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sheetProtection algorithmName="SHA-512" hashValue="NF2TQnRWarQJwEdX9CaTI/FvTR5PiKx9LofGmm057VfRuVfa0ekBHgzMSOC3YZk7N7afAZivJP3mtcQ5uB9s+Q==" saltValue="HwaSwJUgUdi3sud9zMUow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5"/>
  <sheetViews>
    <sheetView tabSelected="1" zoomScale="90" zoomScaleNormal="90" workbookViewId="0">
      <selection activeCell="E1" sqref="E1:E1048576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25">
      <c r="A2" s="7" t="s">
        <v>686</v>
      </c>
      <c r="B2" s="7" t="s">
        <v>11</v>
      </c>
      <c r="F2" s="4">
        <v>10</v>
      </c>
      <c r="H2" s="7" t="s">
        <v>687</v>
      </c>
      <c r="K2" s="7"/>
      <c r="L2" s="7">
        <f>IFERROR(ROUND(IF(Setup!B2=Setup!F1, 20*Setup!F2, IF(Setup!B2=Setup!E1, 20*Setup!E2, IF(Setup!B2=Setup!D1, 20*Setup!D2, 0))), IF(Setup!B2=Setup!D1, 0, Setup!B3)), 0)</f>
        <v>20</v>
      </c>
    </row>
    <row r="3" spans="1:12" x14ac:dyDescent="0.25">
      <c r="A3" s="7" t="s">
        <v>688</v>
      </c>
      <c r="B3" s="7" t="s">
        <v>11</v>
      </c>
      <c r="F3" s="4">
        <v>10</v>
      </c>
      <c r="H3" s="7" t="s">
        <v>689</v>
      </c>
      <c r="K3" s="7"/>
      <c r="L3" s="7">
        <f>IFERROR(ROUND(IF(Setup!B2=Setup!F1, 20*Setup!F2, IF(Setup!B2=Setup!E1, 20*Setup!E2, IF(Setup!B2=Setup!D1, 20*Setup!D2, 0))), IF(Setup!B2=Setup!D1, 0, Setup!B3)), 0)</f>
        <v>20</v>
      </c>
    </row>
    <row r="4" spans="1:12" x14ac:dyDescent="0.25">
      <c r="A4" s="7" t="s">
        <v>690</v>
      </c>
      <c r="B4" s="7" t="s">
        <v>11</v>
      </c>
      <c r="F4" s="4">
        <v>10</v>
      </c>
      <c r="H4" s="7" t="s">
        <v>691</v>
      </c>
      <c r="K4" s="7"/>
      <c r="L4" s="7">
        <f>IFERROR(ROUND(IF(Setup!B2=Setup!F1, 20*Setup!F2, IF(Setup!B2=Setup!E1, 20*Setup!E2, IF(Setup!B2=Setup!D1, 20*Setup!D2, 0))), IF(Setup!B2=Setup!D1, 0, Setup!B3)), 0)</f>
        <v>20</v>
      </c>
    </row>
    <row r="5" spans="1:12" x14ac:dyDescent="0.25">
      <c r="A5" s="7" t="s">
        <v>640</v>
      </c>
      <c r="B5" s="7" t="s">
        <v>11</v>
      </c>
      <c r="F5" s="4">
        <v>10</v>
      </c>
      <c r="H5" s="7" t="s">
        <v>641</v>
      </c>
      <c r="K5" s="7"/>
      <c r="L5" s="7"/>
    </row>
    <row r="6" spans="1:12" x14ac:dyDescent="0.25">
      <c r="A6" s="7"/>
      <c r="B6" s="7"/>
      <c r="F6" s="4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f>IFERROR(ROUND(IF(Setup!B2=Setup!F1, 22*Setup!F2, IF(Setup!B2=Setup!E1, 22*Setup!E2, IF(Setup!B2=Setup!D1, 22*Setup!D2, 0))), IF(Setup!B2=Setup!D1, 0, Setup!B3)), 0)</f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0</v>
      </c>
      <c r="L7" s="7">
        <f>IFERROR(ROUND(IF(Setup!B2=Setup!F1, 24*Setup!F2, IF(Setup!B2=Setup!E1, 24*Setup!E2, IF(Setup!B2=Setup!D1, 24*Setup!D2, 0))), IF(Setup!B2=Setup!D1, 0, Setup!B3)), 0)</f>
        <v>24</v>
      </c>
    </row>
    <row r="8" spans="1:12" x14ac:dyDescent="0.25">
      <c r="A8" s="7" t="s">
        <v>642</v>
      </c>
      <c r="B8" s="7" t="s">
        <v>11</v>
      </c>
      <c r="F8" s="4">
        <v>10</v>
      </c>
      <c r="H8" s="7" t="s">
        <v>643</v>
      </c>
      <c r="K8" s="7"/>
      <c r="L8" s="7"/>
    </row>
    <row r="9" spans="1:12" x14ac:dyDescent="0.25">
      <c r="A9" s="7"/>
      <c r="B9" s="7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f>IFERROR(ROUND(IF(Setup!B2=Setup!F1, 22*Setup!F2, IF(Setup!B2=Setup!E1, 22*Setup!E2, IF(Setup!B2=Setup!D1, 22*Setup!D2, 0))), IF(Setup!B2=Setup!D1, 0, Setup!B3)), 0)</f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1</v>
      </c>
      <c r="L10" s="7">
        <v>0.2</v>
      </c>
    </row>
    <row r="11" spans="1:12" x14ac:dyDescent="0.25">
      <c r="A11" s="7" t="s">
        <v>659</v>
      </c>
      <c r="B11" s="7" t="s">
        <v>11</v>
      </c>
      <c r="F11" s="4">
        <v>10</v>
      </c>
      <c r="H11" s="7" t="s">
        <v>641</v>
      </c>
      <c r="K11" s="7"/>
      <c r="L11" s="7"/>
    </row>
    <row r="12" spans="1:12" x14ac:dyDescent="0.25">
      <c r="A12" s="7"/>
      <c r="B12" s="7"/>
      <c r="F12" s="4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f>IFERROR(ROUND(IF(Setup!B2=Setup!F1, 22*Setup!F2, IF(Setup!B2=Setup!E1, 22*Setup!E2, IF(Setup!B2=Setup!D1, 22*Setup!D2, 0))), IF(Setup!B2=Setup!D1, 0, Setup!B3)), 0)</f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0</v>
      </c>
      <c r="L13" s="7">
        <f>IFERROR(ROUND(IF(Setup!B2=Setup!F1, 24*Setup!F2, IF(Setup!B2=Setup!E1, 24*Setup!E2, IF(Setup!B2=Setup!D1, 24*Setup!D2, 0))), IF(Setup!B2=Setup!D1, 0, Setup!B3)), 0)</f>
        <v>24</v>
      </c>
    </row>
    <row r="14" spans="1:12" x14ac:dyDescent="0.25">
      <c r="A14" s="7" t="s">
        <v>660</v>
      </c>
      <c r="B14" s="7" t="s">
        <v>11</v>
      </c>
      <c r="F14" s="4">
        <v>10</v>
      </c>
      <c r="H14" s="7" t="s">
        <v>643</v>
      </c>
      <c r="K14" s="7"/>
      <c r="L14" s="7"/>
    </row>
    <row r="15" spans="1:12" x14ac:dyDescent="0.25">
      <c r="A15" s="7"/>
      <c r="B15" s="7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f>IFERROR(ROUND(IF(Setup!B2=Setup!F1, 22*Setup!F2, IF(Setup!B2=Setup!E1, 22*Setup!E2, IF(Setup!B2=Setup!D1, 22*Setup!D2, 0))), IF(Setup!B2=Setup!D1, 0, Setup!B3)), 0)</f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1</v>
      </c>
      <c r="L16" s="7">
        <v>0.2</v>
      </c>
    </row>
    <row r="17" spans="1:12" x14ac:dyDescent="0.25">
      <c r="A17" s="7" t="s">
        <v>661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f>IFERROR(ROUND(IF(Setup!B2=Setup!F1, 22*Setup!F2, IF(Setup!B2=Setup!E1, 22*Setup!E2, IF(Setup!B2=Setup!D1, 22*Setup!D2, 0))), IF(Setup!B2=Setup!D1, 0, Setup!B3)), 0)</f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0</v>
      </c>
      <c r="L19" s="7">
        <f>IFERROR(ROUND(IF(Setup!B2=Setup!F1, 24*Setup!F2, IF(Setup!B2=Setup!E1, 24*Setup!E2, IF(Setup!B2=Setup!D1, 24*Setup!D2, 0))), IF(Setup!B2=Setup!D1, 0, Setup!B3)), 0)</f>
        <v>24</v>
      </c>
    </row>
    <row r="20" spans="1:12" x14ac:dyDescent="0.25">
      <c r="A20" s="7" t="s">
        <v>662</v>
      </c>
      <c r="B20" s="7" t="s">
        <v>11</v>
      </c>
      <c r="F20" s="4">
        <v>10</v>
      </c>
      <c r="H20" s="7" t="s">
        <v>641</v>
      </c>
      <c r="K20" s="7"/>
      <c r="L20" s="7"/>
    </row>
    <row r="21" spans="1:12" x14ac:dyDescent="0.25">
      <c r="A21" s="7"/>
      <c r="B21" s="7"/>
      <c r="F21" s="4"/>
      <c r="H21" s="7"/>
      <c r="I21" s="4" t="s">
        <v>367</v>
      </c>
      <c r="J21" s="4" t="str">
        <f>IF(VLOOKUP(I21, OrderAdditives!A:B, 2, FALSE)=0, "", VLOOKUP(I21, OrderAdditives!A:B, 2, FALSE))</f>
        <v>Enfamil Infant</v>
      </c>
      <c r="K21" s="9" t="b">
        <v>0</v>
      </c>
      <c r="L21" s="7">
        <f>IFERROR(ROUND(IF(Setup!B2=Setup!F1, 22*Setup!F2, IF(Setup!B2=Setup!E1, 22*Setup!E2, IF(Setup!B2=Setup!D1, 22*Setup!D2, 0))), IF(Setup!B2=Setup!D1, 0, Setup!B3)), 0)</f>
        <v>22</v>
      </c>
    </row>
    <row r="22" spans="1:12" x14ac:dyDescent="0.25">
      <c r="A22" s="7"/>
      <c r="B22" s="7"/>
      <c r="H22" s="7"/>
      <c r="I22" s="4" t="s">
        <v>499</v>
      </c>
      <c r="J22" s="4" t="str">
        <f>IF(VLOOKUP(I22, OrderAdditives!A:B, 2, FALSE)=0, "", VLOOKUP(I22, OrderAdditives!A:B, 2, FALSE))</f>
        <v>MCT Oil</v>
      </c>
      <c r="K22" s="9" t="b">
        <v>1</v>
      </c>
      <c r="L22" s="7">
        <v>0.2</v>
      </c>
    </row>
    <row r="23" spans="1:12" x14ac:dyDescent="0.25">
      <c r="A23" s="7" t="s">
        <v>644</v>
      </c>
      <c r="B23" s="7" t="s">
        <v>648</v>
      </c>
      <c r="C23" t="s">
        <v>26</v>
      </c>
      <c r="D23" t="str">
        <f>IF(VLOOKUP(C23, 'Order Base'!A:B, 2, FALSE)=0, "", VLOOKUP(C23, 'Order Base'!A:B, 2, FALSE))</f>
        <v>Enfamil Infant</v>
      </c>
      <c r="E23">
        <f>IFERROR(ROUND(IF(Setup!B2=Setup!F1, VLOOKUP(C23, 'Order Base'!A:C, 3, FALSE)*Setup!F2, IF(Setup!B2=Setup!E1, VLOOKUP(C23, 'Order Base'!A:C, 3, FALSE)*Setup!E2, IF(Setup!B2=Setup!D1, VLOOKUP(C23, 'Order Base'!A:C, 3, FALSE)*Setup!D2, 0))), IF(Setup!B2=Setup!D1, 0, Setup!B3)), 0)</f>
        <v>20</v>
      </c>
      <c r="F23" s="4">
        <v>10</v>
      </c>
      <c r="H23" s="7" t="s">
        <v>646</v>
      </c>
      <c r="K23" s="7"/>
      <c r="L23" s="7"/>
    </row>
    <row r="24" spans="1:12" x14ac:dyDescent="0.25">
      <c r="A24" s="7" t="s">
        <v>647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IFERROR(ROUND(IF(Setup!B2=Setup!F1, VLOOKUP(C24, 'Order Base'!A:C, 3, FALSE)*Setup!F2, IF(Setup!B2=Setup!E1, VLOOKUP(C24, 'Order Base'!A:C, 3, FALSE)*Setup!E2, IF(Setup!B2=Setup!D1, VLOOKUP(C24, 'Order Base'!A:C, 3, FALSE)*Setup!D2, 0))), IF(Setup!B2=Setup!D1, 0, Setup!B3)), 0)</f>
        <v>20</v>
      </c>
      <c r="F24" s="4">
        <v>10</v>
      </c>
      <c r="H24" s="7" t="s">
        <v>649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IFERROR(ROUND(IF(Setup!B2=Setup!F1, 22*Setup!F2, IF(Setup!B2=Setup!E1, 22*Setup!E2, IF(Setup!B2=Setup!D1, 22*Setup!D2, 0))), IF(Setup!B2=Setup!D1, 0, Setup!B3)), 0)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0</v>
      </c>
      <c r="L26" s="7">
        <f>IFERROR(ROUND(IF(Setup!B2=Setup!F1, 24*Setup!F2, IF(Setup!B2=Setup!E1, 24*Setup!E2, IF(Setup!B2=Setup!D1, 24*Setup!D2, 0))), IF(Setup!B2=Setup!D1, 0, Setup!B3)), 0)</f>
        <v>24</v>
      </c>
    </row>
    <row r="27" spans="1:12" x14ac:dyDescent="0.25">
      <c r="A27" s="7" t="s">
        <v>652</v>
      </c>
      <c r="B27" s="7" t="s">
        <v>648</v>
      </c>
      <c r="C27" t="s">
        <v>26</v>
      </c>
      <c r="D27" t="str">
        <f>IF(VLOOKUP(C27, 'Order Base'!A:B, 2, FALSE)=0, "", VLOOKUP(C27, 'Order Base'!A:B, 2, FALSE))</f>
        <v>Enfamil Infant</v>
      </c>
      <c r="E27">
        <f>IFERROR(ROUND(IF(Setup!B2=Setup!F1, VLOOKUP(C27, 'Order Base'!A:C, 3, FALSE)*Setup!F2, IF(Setup!B2=Setup!E1, VLOOKUP(C27, 'Order Base'!A:C, 3, FALSE)*Setup!E2, IF(Setup!B2=Setup!D1, VLOOKUP(C27, 'Order Base'!A:C, 3, FALSE)*Setup!D2, 0))), IF(Setup!B2=Setup!D1, 0, Setup!B3)), 0)</f>
        <v>20</v>
      </c>
      <c r="F27" s="4">
        <v>10</v>
      </c>
      <c r="H27" s="7" t="s">
        <v>653</v>
      </c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f>IFERROR(ROUND(IF(Setup!B2=Setup!F1, 22*Setup!F2, IF(Setup!B2=Setup!E1, 22*Setup!E2, IF(Setup!B2=Setup!D1, 22*Setup!D2, 0))), IF(Setup!B2=Setup!D1, 0, Setup!B3)), 0)</f>
        <v>22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1</v>
      </c>
      <c r="L29" s="7">
        <v>0.2</v>
      </c>
    </row>
    <row r="30" spans="1:12" x14ac:dyDescent="0.25">
      <c r="A30" s="7" t="s">
        <v>654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IFERROR(ROUND(IF(Setup!B2=Setup!F1, VLOOKUP(C30, 'Order Base'!A:C, 3, FALSE)*Setup!F2, IF(Setup!B2=Setup!E1, VLOOKUP(C30, 'Order Base'!A:C, 3, FALSE)*Setup!E2, IF(Setup!B2=Setup!D1, VLOOKUP(C30, 'Order Base'!A:C, 3, FALSE)*Setup!D2, 0))), IF(Setup!B2=Setup!D1, 0, Setup!B3)), 0)</f>
        <v>0</v>
      </c>
      <c r="F30" s="4">
        <v>10</v>
      </c>
      <c r="H30" s="7" t="s">
        <v>657</v>
      </c>
      <c r="I30" s="4"/>
      <c r="J30" s="4"/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f>IFERROR(ROUND(IF(Setup!B2=Setup!F1, 20*Setup!F2, IF(Setup!B2=Setup!E1, 20*Setup!E2, IF(Setup!B2=Setup!D1, 20*Setup!D2, 0))), IF(Setup!B2=Setup!D1, 0, Setup!B3)), 0)</f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0</v>
      </c>
      <c r="L32" s="7">
        <f>IFERROR(ROUND(IF(Setup!B2=Setup!F1, 22*Setup!F2, IF(Setup!B2=Setup!E1, 22*Setup!E2, IF(Setup!B2=Setup!D1, 22*Setup!D2, 0))), IF(Setup!B2=Setup!D1, 0, Setup!B3)), 0)</f>
        <v>22</v>
      </c>
    </row>
    <row r="33" spans="1:12" x14ac:dyDescent="0.25">
      <c r="A33" s="7" t="s">
        <v>655</v>
      </c>
      <c r="B33" s="7" t="s">
        <v>656</v>
      </c>
      <c r="C33" t="s">
        <v>76</v>
      </c>
      <c r="D33" t="str">
        <f>IF(VLOOKUP(C33, 'Order Base'!A:B, 2, FALSE)=0, "", VLOOKUP(C33, 'Order Base'!A:B, 2, FALSE))</f>
        <v>Sim Sterile Water</v>
      </c>
      <c r="E33">
        <f>IFERROR(ROUND(IF(Setup!B2=Setup!F1, VLOOKUP(C33, 'Order Base'!A:C, 3, FALSE)*Setup!F2, IF(Setup!B2=Setup!E1, VLOOKUP(C33, 'Order Base'!A:C, 3, FALSE)*Setup!E2, IF(Setup!B2=Setup!D1, VLOOKUP(C33, 'Order Base'!A:C, 3, FALSE)*Setup!D2, 0))), IF(Setup!B2=Setup!D1, 0, Setup!B3)), 0)</f>
        <v>0</v>
      </c>
      <c r="F33" s="4">
        <v>10</v>
      </c>
      <c r="H33" s="7" t="s">
        <v>658</v>
      </c>
      <c r="K33" s="7"/>
      <c r="L33" s="7"/>
    </row>
    <row r="34" spans="1:12" x14ac:dyDescent="0.25">
      <c r="A34" s="7"/>
      <c r="B34" s="7"/>
      <c r="H34" s="7"/>
      <c r="I34" s="4" t="s">
        <v>367</v>
      </c>
      <c r="J34" s="4" t="str">
        <f>IF(VLOOKUP(I34, OrderAdditives!A:B, 2, FALSE)=0, "", VLOOKUP(I34, OrderAdditives!A:B, 2, FALSE))</f>
        <v>Enfamil Infant</v>
      </c>
      <c r="K34" s="9" t="b">
        <v>0</v>
      </c>
      <c r="L34" s="7">
        <f>IFERROR(ROUND(IF(Setup!B2=Setup!F1, 20*Setup!F2, IF(Setup!B2=Setup!E1, 20*Setup!E2, IF(Setup!B2=Setup!D1, 20*Setup!D2, 0))), IF(Setup!B2=Setup!D1, 0, Setup!B3)), 0)</f>
        <v>20</v>
      </c>
    </row>
    <row r="35" spans="1:12" x14ac:dyDescent="0.25">
      <c r="A35" s="7"/>
      <c r="B35" s="7"/>
      <c r="H35" s="7"/>
      <c r="I35" s="4" t="s">
        <v>499</v>
      </c>
      <c r="J35" s="4" t="str">
        <f>IF(VLOOKUP(I35, OrderAdditives!A:B, 2, FALSE)=0, "", VLOOKUP(I35, OrderAdditives!A:B, 2, FALSE))</f>
        <v>MCT Oil</v>
      </c>
      <c r="K35" s="9" t="b">
        <v>1</v>
      </c>
      <c r="L35" s="7">
        <v>0.2</v>
      </c>
    </row>
  </sheetData>
  <conditionalFormatting sqref="K1 K6:K7 K9:K10 K12:K13 K15:K16 K18:K19 K21:K22 K25:K26 K28:K29 K31:K32 K34:K35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I6:I7 I34:I35 I25:I26 I28:I32 I9:I10 I12:I13 I15:I16 I18:I19 I21:I22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C23:C24 C27 C33 C30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229F-E3EA-442A-809A-364CBB32564D}">
  <dimension ref="A1:I4"/>
  <sheetViews>
    <sheetView workbookViewId="0">
      <selection activeCell="H1" sqref="H1"/>
    </sheetView>
  </sheetViews>
  <sheetFormatPr defaultRowHeight="15" x14ac:dyDescent="0.25"/>
  <cols>
    <col min="1" max="1" width="25.7109375" bestFit="1" customWidth="1"/>
    <col min="2" max="2" width="38.5703125" customWidth="1"/>
    <col min="4" max="4" width="26" bestFit="1" customWidth="1"/>
    <col min="5" max="5" width="13.7109375" bestFit="1" customWidth="1"/>
    <col min="6" max="6" width="17.85546875" bestFit="1" customWidth="1"/>
    <col min="8" max="8" width="42.42578125" bestFit="1" customWidth="1"/>
    <col min="9" max="9" width="18.140625" bestFit="1" customWidth="1"/>
  </cols>
  <sheetData>
    <row r="1" spans="1:9" ht="16.5" x14ac:dyDescent="0.3">
      <c r="A1" s="5" t="s">
        <v>674</v>
      </c>
      <c r="B1" s="5" t="s">
        <v>675</v>
      </c>
      <c r="C1" s="5"/>
      <c r="D1" s="12" t="s">
        <v>678</v>
      </c>
      <c r="E1" s="5" t="s">
        <v>679</v>
      </c>
      <c r="F1" s="5" t="s">
        <v>677</v>
      </c>
      <c r="H1" s="5" t="s">
        <v>681</v>
      </c>
      <c r="I1" s="5" t="s">
        <v>682</v>
      </c>
    </row>
    <row r="2" spans="1:9" x14ac:dyDescent="0.25">
      <c r="A2" t="s">
        <v>676</v>
      </c>
      <c r="B2" s="10" t="s">
        <v>678</v>
      </c>
      <c r="D2" s="11">
        <v>1</v>
      </c>
      <c r="E2" s="11">
        <f>1 / 29.5735296</f>
        <v>3.3814022658965943E-2</v>
      </c>
      <c r="F2" s="11">
        <f>1 / (29.5735296 / 100)</f>
        <v>3.3814022658965945</v>
      </c>
      <c r="H2" t="s">
        <v>683</v>
      </c>
      <c r="I2" s="4" t="s">
        <v>367</v>
      </c>
    </row>
    <row r="3" spans="1:9" x14ac:dyDescent="0.25">
      <c r="A3" t="s">
        <v>680</v>
      </c>
      <c r="B3" s="11">
        <v>0</v>
      </c>
      <c r="H3" t="s">
        <v>684</v>
      </c>
      <c r="I3" s="4" t="s">
        <v>367</v>
      </c>
    </row>
    <row r="4" spans="1:9" x14ac:dyDescent="0.25">
      <c r="H4" t="s">
        <v>685</v>
      </c>
      <c r="I4" t="s">
        <v>26</v>
      </c>
    </row>
  </sheetData>
  <dataValidations count="1">
    <dataValidation type="list" allowBlank="1" showInputMessage="1" showErrorMessage="1" sqref="B2" xr:uid="{C5A0D655-FFA3-4DC8-9CA5-A4380E37F444}">
      <formula1>$D$1:$F$1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656CBF-F2EE-4D4C-94D8-4CDF40062885}">
          <x14:formula1>
            <xm:f>OrderAdditives!$A:$A</xm:f>
          </x14:formula1>
          <xm:sqref>I2:I3</xm:sqref>
        </x14:dataValidation>
        <x14:dataValidation type="list" allowBlank="1" showInputMessage="1" showErrorMessage="1" xr:uid="{2A04EA3F-3286-42FE-A675-C982CF07CD44}">
          <x14:formula1>
            <xm:f>'Order Base'!$A:$A</xm:f>
          </x14:formula1>
          <xm:sqref>I4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Guardian</vt:lpstr>
      <vt:lpstr>Patient</vt:lpstr>
      <vt:lpstr>Order</vt:lpstr>
      <vt:lpstr>Order Base</vt:lpstr>
      <vt:lpstr>OrderAdditives</vt:lpstr>
      <vt:lpstr>Setup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2026-03-03T01:32:25Z</dcterms:modified>
</cp:coreProperties>
</file>