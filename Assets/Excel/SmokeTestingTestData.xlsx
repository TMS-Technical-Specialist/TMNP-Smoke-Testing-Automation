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eroy\Desktop\Timeless\Important\Automation for peer review\Assets\Excel\"/>
    </mc:Choice>
  </mc:AlternateContent>
  <xr:revisionPtr revIDLastSave="0" documentId="13_ncr:1_{5B731E4C-304E-425C-81C1-105A3035B4CC}" xr6:coauthVersionLast="47" xr6:coauthVersionMax="47" xr10:uidLastSave="{00000000-0000-0000-0000-000000000000}"/>
  <bookViews>
    <workbookView xWindow="51480" yWindow="-120" windowWidth="29040" windowHeight="17520" activeTab="5" xr2:uid="{DAEDCE94-5880-43BD-9814-69B501689CEE}"/>
  </bookViews>
  <sheets>
    <sheet name="Guardian" sheetId="1" r:id="rId1"/>
    <sheet name="Patient" sheetId="2" r:id="rId2"/>
    <sheet name="Order" sheetId="4" r:id="rId3"/>
    <sheet name="Order Base" sheetId="5" r:id="rId4"/>
    <sheet name="OrderAdditives" sheetId="6" r:id="rId5"/>
    <sheet name="Setup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L25" i="4"/>
  <c r="L22" i="4"/>
  <c r="L18" i="4"/>
  <c r="L15" i="4"/>
  <c r="L12" i="4"/>
  <c r="L9" i="4"/>
  <c r="L6" i="4"/>
  <c r="L31" i="4"/>
  <c r="L28" i="4"/>
  <c r="L23" i="4"/>
  <c r="L16" i="4"/>
  <c r="L10" i="4"/>
  <c r="L4" i="4"/>
  <c r="L3" i="4"/>
  <c r="F2" i="7"/>
  <c r="E2" i="7"/>
  <c r="J19" i="4"/>
  <c r="J18" i="4"/>
  <c r="J16" i="4"/>
  <c r="J15" i="4"/>
  <c r="J13" i="4"/>
  <c r="J12" i="4"/>
  <c r="J10" i="4"/>
  <c r="J9" i="4"/>
  <c r="E27" i="4"/>
  <c r="D27" i="4"/>
  <c r="E30" i="4"/>
  <c r="D30" i="4"/>
  <c r="J32" i="4"/>
  <c r="J31" i="4"/>
  <c r="J29" i="4"/>
  <c r="J28" i="4"/>
  <c r="J26" i="4"/>
  <c r="J25" i="4"/>
  <c r="E24" i="4"/>
  <c r="D24" i="4"/>
  <c r="E21" i="4"/>
  <c r="E20" i="4"/>
  <c r="J23" i="4"/>
  <c r="J22" i="4"/>
  <c r="D21" i="4"/>
  <c r="D20" i="4"/>
  <c r="J7" i="4"/>
  <c r="J6" i="4"/>
  <c r="J4" i="4"/>
  <c r="J3" i="4"/>
  <c r="K3" i="2"/>
</calcChain>
</file>

<file path=xl/sharedStrings.xml><?xml version="1.0" encoding="utf-8"?>
<sst xmlns="http://schemas.openxmlformats.org/spreadsheetml/2006/main" count="1169" uniqueCount="686">
  <si>
    <t>MRN</t>
  </si>
  <si>
    <t>TIMELESS</t>
  </si>
  <si>
    <t>sampleguardian@mail.com</t>
  </si>
  <si>
    <t>Room</t>
  </si>
  <si>
    <t>Bed</t>
  </si>
  <si>
    <t>001</t>
  </si>
  <si>
    <t>Order Base</t>
  </si>
  <si>
    <t>Milk Base / Base Product</t>
  </si>
  <si>
    <t>Feed Volume</t>
  </si>
  <si>
    <t>Frequency</t>
  </si>
  <si>
    <t>Label Notes</t>
  </si>
  <si>
    <t>Breastmilk</t>
  </si>
  <si>
    <t>G123</t>
  </si>
  <si>
    <t>FirstName</t>
  </si>
  <si>
    <t>LastName</t>
  </si>
  <si>
    <t>AccountNumber</t>
  </si>
  <si>
    <t>PhoneNumber</t>
  </si>
  <si>
    <t>CellphoneNumber</t>
  </si>
  <si>
    <t>EmailAddress</t>
  </si>
  <si>
    <t>MiddleName</t>
  </si>
  <si>
    <t>DateOfBirth</t>
  </si>
  <si>
    <t>MRNNumber</t>
  </si>
  <si>
    <t>MotherIdentifier</t>
  </si>
  <si>
    <t>UseForTesting</t>
  </si>
  <si>
    <t>formtypeName</t>
  </si>
  <si>
    <t>formtypeShortName</t>
  </si>
  <si>
    <t>Enfamil Infant RTU</t>
  </si>
  <si>
    <t>Enfamil Infant</t>
  </si>
  <si>
    <t>Enfamil NeuroPro Infant RTU</t>
  </si>
  <si>
    <t>Enfamil NeuroPro Infant</t>
  </si>
  <si>
    <t>Enfamil NeuroPro EnfaCare RTU</t>
  </si>
  <si>
    <t>NeuroPro Enfacare</t>
  </si>
  <si>
    <t>Enfamil EnfaCare RTU</t>
  </si>
  <si>
    <t>Enfamil NeuroPro Gentlease RTU</t>
  </si>
  <si>
    <t>Enfamil A.R. RTU</t>
  </si>
  <si>
    <t>Enfamil A.R</t>
  </si>
  <si>
    <t>Nutramigen RTU</t>
  </si>
  <si>
    <t>Pregestimil 24 kcal RTU</t>
  </si>
  <si>
    <t>Pregestimil 20 kcal RTU</t>
  </si>
  <si>
    <t>Enfamil ProSobee RTU</t>
  </si>
  <si>
    <t>Enfagrow NeuroPro Toddler Natural Milk Nutritional Drink</t>
  </si>
  <si>
    <t>Enfagrow NeuroPro Toddler Vanilla Flavor Nutrition Drink</t>
  </si>
  <si>
    <t>Enfamil Water, Oral Use RTU</t>
  </si>
  <si>
    <t>Enfamil 5% Glucose Water RTU</t>
  </si>
  <si>
    <t>Enfamil Enfalyte Oral Electrolyte Solution RTU</t>
  </si>
  <si>
    <t>Enfamil Premature with Iron 20 kcal RTU</t>
  </si>
  <si>
    <t>Enfamil Premature 24 kcal RTU</t>
  </si>
  <si>
    <t>Enfamil Premature 30 kcal RTU</t>
  </si>
  <si>
    <t>Enfamil Premature 24 kcal High Protein RTU</t>
  </si>
  <si>
    <t>Enfamil 24 kcal RTU</t>
  </si>
  <si>
    <t>Enfaport Nursette RTU</t>
  </si>
  <si>
    <t>Similac With Iron 24</t>
  </si>
  <si>
    <t>Sim Iron 24</t>
  </si>
  <si>
    <t>Similac Advance RTF</t>
  </si>
  <si>
    <t>Pure Bliss Organic RTF</t>
  </si>
  <si>
    <t>Pure Bliss Organic</t>
  </si>
  <si>
    <t>Similac 360 Total Care RTF</t>
  </si>
  <si>
    <t>Sim 360 Total</t>
  </si>
  <si>
    <t>Similac 360 Total Care Sensitive RTF</t>
  </si>
  <si>
    <t>Similac Special Care 20 RTU</t>
  </si>
  <si>
    <t>Sim Special Care 20</t>
  </si>
  <si>
    <t>Similac Special Care 24 RTU</t>
  </si>
  <si>
    <t>Sim Special Care 24</t>
  </si>
  <si>
    <t>Similac Special Care 24 High Protein RTU</t>
  </si>
  <si>
    <t>Sim Special Care 24 HP</t>
  </si>
  <si>
    <t>Similac Special Care 30 RTF</t>
  </si>
  <si>
    <t>Sim Special Care 30</t>
  </si>
  <si>
    <t>Similac Neosure RTF</t>
  </si>
  <si>
    <t>Sim Neosure</t>
  </si>
  <si>
    <t>Neocate Splash</t>
  </si>
  <si>
    <t>Similac Alimentum RTF</t>
  </si>
  <si>
    <t>Sim Alimentum</t>
  </si>
  <si>
    <t>Similac Pro-Total Comfort 20 RTF</t>
  </si>
  <si>
    <t>Sim Pro-Total Comfort 20</t>
  </si>
  <si>
    <t>Similac Sensitive for Spit-Up RTF</t>
  </si>
  <si>
    <t>Sim Sensitive Spit Up</t>
  </si>
  <si>
    <t>Similac Sterile Water</t>
  </si>
  <si>
    <t>Sim Sterile Water</t>
  </si>
  <si>
    <t>Similac 10% Glucose Water RTF</t>
  </si>
  <si>
    <t>Sim 10% Glucose Water</t>
  </si>
  <si>
    <t>Similac 5% Glucose Water RTF</t>
  </si>
  <si>
    <t>Sim 5% Glucose Water</t>
  </si>
  <si>
    <t>Nepro with Carbsteady</t>
  </si>
  <si>
    <t>Nepro Carbsteady</t>
  </si>
  <si>
    <t>Pedialyte Classic</t>
  </si>
  <si>
    <t>Glucerna 1.5 Cal</t>
  </si>
  <si>
    <t>Glucerna</t>
  </si>
  <si>
    <t>Pediasure Grow &amp; Gain</t>
  </si>
  <si>
    <t>Pediasure 1.5</t>
  </si>
  <si>
    <t>Pediasure Grow &amp; Gain with Fiber</t>
  </si>
  <si>
    <t>Pediasure 1.5 Cal with Fiber</t>
  </si>
  <si>
    <t>Pediasure Reduced Calorie</t>
  </si>
  <si>
    <t>Jevity 1.0 Cal with Fiber</t>
  </si>
  <si>
    <t>Jevity 1.2 Cal with Fiber</t>
  </si>
  <si>
    <t>Jevity 1.5 Cal with Fiber</t>
  </si>
  <si>
    <t>Osmolite 1.0 Cal</t>
  </si>
  <si>
    <t>Osmolite 1.5 Cal</t>
  </si>
  <si>
    <t>Suplena with Carbsteady</t>
  </si>
  <si>
    <t>TwoCal HN</t>
  </si>
  <si>
    <t>Compleat Original</t>
  </si>
  <si>
    <t>Compleat</t>
  </si>
  <si>
    <t>Compleat Pediatric Peptide 1.5</t>
  </si>
  <si>
    <t>Compleat Peds Peptide 1.5</t>
  </si>
  <si>
    <t>Compleat Pediatric Original RTU</t>
  </si>
  <si>
    <t>Compleat Peds</t>
  </si>
  <si>
    <t>Compleat Pediatric Reduced Calorie 0.6</t>
  </si>
  <si>
    <t>Compleat Peds Reduced Cal</t>
  </si>
  <si>
    <t>Ensure Original Shake</t>
  </si>
  <si>
    <t>Ensure Original</t>
  </si>
  <si>
    <t>Nutren 1.0 Fiber RTU</t>
  </si>
  <si>
    <t>Nutren 1.0 Fiber</t>
  </si>
  <si>
    <t>Nutren 1.0 RTU</t>
  </si>
  <si>
    <t>Nutren 1.0</t>
  </si>
  <si>
    <t>Nutren 1.5 RTU</t>
  </si>
  <si>
    <t>Nutren 1.5</t>
  </si>
  <si>
    <t>Nutren Junior</t>
  </si>
  <si>
    <t>Nutren Jr.</t>
  </si>
  <si>
    <t>Nutren Junior Fiber RTU</t>
  </si>
  <si>
    <t>Nutren Jr. Fiber</t>
  </si>
  <si>
    <t>Nutren 2.0 RTU</t>
  </si>
  <si>
    <t>Nutren Pulmonary RTU</t>
  </si>
  <si>
    <t>Nutren Pulmonary</t>
  </si>
  <si>
    <t>Vivonex RTF</t>
  </si>
  <si>
    <t>Vivonex</t>
  </si>
  <si>
    <t>Bright Beginnings Soy Vanilla</t>
  </si>
  <si>
    <t>Bright Beginnings Soy</t>
  </si>
  <si>
    <t>Boost Kid Essentials 1.0 RTU</t>
  </si>
  <si>
    <t>Boost Kid 1.0</t>
  </si>
  <si>
    <t>Boost Kid Essentials 1.5 RTU</t>
  </si>
  <si>
    <t>Boost Kid Essentials 1.5 With Fiber RTU</t>
  </si>
  <si>
    <t>Boost Breeze RTU</t>
  </si>
  <si>
    <t>Boose Breeze</t>
  </si>
  <si>
    <t>Boost Original RTU</t>
  </si>
  <si>
    <t>Boost</t>
  </si>
  <si>
    <t>Boost Glucose Control RTU</t>
  </si>
  <si>
    <t>Boost BG Control</t>
  </si>
  <si>
    <t>Boost Plus RTU</t>
  </si>
  <si>
    <t>Boost Plus</t>
  </si>
  <si>
    <t>Boost Nutritional Pudding RTU</t>
  </si>
  <si>
    <t>Boost Pudding</t>
  </si>
  <si>
    <t>Boost Very High Calorie RTU</t>
  </si>
  <si>
    <t>Boost VHC</t>
  </si>
  <si>
    <t>Benecalorie Concentrate</t>
  </si>
  <si>
    <t>Benecalorie</t>
  </si>
  <si>
    <t>Carnation Breakfast Essentials RTF Flavored Nutritional Drink RTU</t>
  </si>
  <si>
    <t>Carnation Essentials Flavor</t>
  </si>
  <si>
    <t>Gerber Good Start Gentle RTF</t>
  </si>
  <si>
    <t>Gerber Good Start Gentle</t>
  </si>
  <si>
    <t>Gerber Good Start Soy RTF</t>
  </si>
  <si>
    <t>Gerber Good Start Soy</t>
  </si>
  <si>
    <t>Isosource 1.5 Cal RTU</t>
  </si>
  <si>
    <t>Isosource 1.5</t>
  </si>
  <si>
    <t>Isosource HN RTU</t>
  </si>
  <si>
    <t>Isosource HN</t>
  </si>
  <si>
    <t>Pediasure 1.5 Calorie Vanilla</t>
  </si>
  <si>
    <t>Peptamen 1.5 RTU</t>
  </si>
  <si>
    <t>Peptamen 1.5</t>
  </si>
  <si>
    <t>Peptamen AF RTU</t>
  </si>
  <si>
    <t>Peptamen AF</t>
  </si>
  <si>
    <t>Peptamen Intense Very High Protein (VHP) RTU</t>
  </si>
  <si>
    <t>Peptamen Intense VHP</t>
  </si>
  <si>
    <t>Peptamen Junior RTU</t>
  </si>
  <si>
    <t>Peptamen Junior</t>
  </si>
  <si>
    <t>Peptamen Junior 1.5 RTU</t>
  </si>
  <si>
    <t>Peptamen Jr 1.5</t>
  </si>
  <si>
    <t>Peptamen Junior Fiber RTU</t>
  </si>
  <si>
    <t>Peptamen Junior Fiber</t>
  </si>
  <si>
    <t>Peptamen With Prebio RTU</t>
  </si>
  <si>
    <t>Peptamen Prebio</t>
  </si>
  <si>
    <t>Periflex LQ</t>
  </si>
  <si>
    <t>Replete RTU</t>
  </si>
  <si>
    <t>Replete</t>
  </si>
  <si>
    <t>Replete Fiber RTU</t>
  </si>
  <si>
    <t>Replete Fiber</t>
  </si>
  <si>
    <t>Impact Peptide 1.5</t>
  </si>
  <si>
    <t>Diabetisource AC RTU</t>
  </si>
  <si>
    <t>Diabetisource AC</t>
  </si>
  <si>
    <t>KetoVie 4:1 Peptide</t>
  </si>
  <si>
    <t>KetoVie 3:1</t>
  </si>
  <si>
    <t>KetoVie 4:1 Vanilla</t>
  </si>
  <si>
    <t>KetoVie 4:1 Chocolate</t>
  </si>
  <si>
    <t>Prolact HM</t>
  </si>
  <si>
    <t>Prolacta Human Donor Milk</t>
  </si>
  <si>
    <t>PremieLact</t>
  </si>
  <si>
    <t>Prolact RTF 24</t>
  </si>
  <si>
    <t>Prolact RTF 26</t>
  </si>
  <si>
    <t>Prolact RTF 28</t>
  </si>
  <si>
    <t>Prolacta RTF 28</t>
  </si>
  <si>
    <t>Ni-Q HDM Plus</t>
  </si>
  <si>
    <t>Ni-Q HDM</t>
  </si>
  <si>
    <t>Real Food Blends (Beef Potatoes &amp; Spinach)</t>
  </si>
  <si>
    <t>Real Foods Beef</t>
  </si>
  <si>
    <t>Real Food Blends (Quinoa Kale &amp; Hemp)</t>
  </si>
  <si>
    <t>Real Foods Quinoa</t>
  </si>
  <si>
    <t>Real Food Blends (Turkey Sweet Potatoes &amp; Peaches)</t>
  </si>
  <si>
    <t>Real Foods Turkey</t>
  </si>
  <si>
    <t>Real Food Blends (Salmon Oats &amp; Squash)</t>
  </si>
  <si>
    <t>Real Foods Salmon</t>
  </si>
  <si>
    <t>Real Food Blends (Chicken, Carrots and Brown Rice)</t>
  </si>
  <si>
    <t>Real Foods Chicken</t>
  </si>
  <si>
    <t>Real Food Blends (Eggs Apples &amp; Oats)</t>
  </si>
  <si>
    <t>Real Foods Eggs</t>
  </si>
  <si>
    <t>Kate Farms Pediatric Standard 1.2</t>
  </si>
  <si>
    <t>Kate Farms Ped Standard 1.2</t>
  </si>
  <si>
    <t>Kate Farms Pediatric Peptide 1.5 Vanilla</t>
  </si>
  <si>
    <t>Kate Farms Ped Pep 1.5</t>
  </si>
  <si>
    <t>Kate Farms Pediatric Peptide 1.5 (Plain)</t>
  </si>
  <si>
    <t>Kate Farms Ped Pep 1.5 Plain</t>
  </si>
  <si>
    <t>Kate Farms Standard 1.0</t>
  </si>
  <si>
    <t>Kate Farms Standard 1.0 Vanila</t>
  </si>
  <si>
    <t>Kate Farms Standard 1.0 Van</t>
  </si>
  <si>
    <t>ProSource Gelatein</t>
  </si>
  <si>
    <t>Baxter Sterile Water</t>
  </si>
  <si>
    <t>Kate Farms Pediatric Peptide 1.0</t>
  </si>
  <si>
    <t>Other (See Notes)</t>
  </si>
  <si>
    <t>Ketocal 4:1 LQ</t>
  </si>
  <si>
    <t>Ketocal 4:1</t>
  </si>
  <si>
    <t>Osmolite 1.2</t>
  </si>
  <si>
    <t>Glucerna 1.2 Cal</t>
  </si>
  <si>
    <t>Glucerna 1.2</t>
  </si>
  <si>
    <t>Ensure Plus Nutrition Shake</t>
  </si>
  <si>
    <t>Ensure Plus</t>
  </si>
  <si>
    <t>Ensure Clear Therapeutic Nutrition</t>
  </si>
  <si>
    <t>Ensure Clear</t>
  </si>
  <si>
    <t>Promote</t>
  </si>
  <si>
    <t>Promote With Fiber</t>
  </si>
  <si>
    <t>Ensure Enlive Advanced Therapeutic Nutrition Shake</t>
  </si>
  <si>
    <t>Ensure Enlive</t>
  </si>
  <si>
    <t>Ensure Compact Therapeutic Nutrition Shake</t>
  </si>
  <si>
    <t>Ensure Compact</t>
  </si>
  <si>
    <t>Ensure Harvest</t>
  </si>
  <si>
    <t>Pediasure Peptide 1.0</t>
  </si>
  <si>
    <t>Pediasure Peptide</t>
  </si>
  <si>
    <t>Pediasure Peptide 1.5</t>
  </si>
  <si>
    <t>Pediasure Harvest</t>
  </si>
  <si>
    <t>Pivot 1.5</t>
  </si>
  <si>
    <t>Vital 1.0 Cal</t>
  </si>
  <si>
    <t>Vital 1.0 HP</t>
  </si>
  <si>
    <t>Vital HP</t>
  </si>
  <si>
    <t>Vital AF 1.2 Cal</t>
  </si>
  <si>
    <t>Vital 1.5</t>
  </si>
  <si>
    <t>Resource 2.0 RTU</t>
  </si>
  <si>
    <t>Resource 2.0</t>
  </si>
  <si>
    <t>Nourish</t>
  </si>
  <si>
    <t>Nourish Peptide</t>
  </si>
  <si>
    <t>Liquid Hope</t>
  </si>
  <si>
    <t>Liquid Hope Peptide</t>
  </si>
  <si>
    <t>Pediasure Enteral 1.0</t>
  </si>
  <si>
    <t>Pediasure Vanilla</t>
  </si>
  <si>
    <t>Gerber Good Start Pro</t>
  </si>
  <si>
    <t>Peptamen 1.0 RTU</t>
  </si>
  <si>
    <t>Peptamen 1.0</t>
  </si>
  <si>
    <t>Fibersource HN RTU</t>
  </si>
  <si>
    <t>Fibersource HN</t>
  </si>
  <si>
    <t>Certo Premium Liquid Fruit Pectin</t>
  </si>
  <si>
    <t>Certo Pectin</t>
  </si>
  <si>
    <t>Novasource Renal RTU</t>
  </si>
  <si>
    <t>Novasource Renal</t>
  </si>
  <si>
    <t>Renastep</t>
  </si>
  <si>
    <t>KetoVie Plant based protein</t>
  </si>
  <si>
    <t>KetoVie Plant based</t>
  </si>
  <si>
    <t>Pediasure with Fiber 1.5</t>
  </si>
  <si>
    <t>Keto Peptide</t>
  </si>
  <si>
    <t>Gerber Natural for Baby Green Bean</t>
  </si>
  <si>
    <t>Baby Food Green Beans</t>
  </si>
  <si>
    <t>Gerber Natural for Baby Carrot</t>
  </si>
  <si>
    <t>Baby Food Carrots</t>
  </si>
  <si>
    <t>Gerber Natural for Baby Peas</t>
  </si>
  <si>
    <t>Baby Food Peas</t>
  </si>
  <si>
    <t>Gerber Natural for Baby Butternut Squash</t>
  </si>
  <si>
    <t>Baby Food Butternut Squash</t>
  </si>
  <si>
    <t>Gerber Natural for Baby Prune</t>
  </si>
  <si>
    <t>Baby Food Prunes</t>
  </si>
  <si>
    <t>Gerber Natural for Baby Pear</t>
  </si>
  <si>
    <t>Baby Food Pears</t>
  </si>
  <si>
    <t>Gerber Natural for Baby Apple</t>
  </si>
  <si>
    <t>Baby Food Apples</t>
  </si>
  <si>
    <t>Gerber Natural for Baby Banana</t>
  </si>
  <si>
    <t>Baby Food Bananas</t>
  </si>
  <si>
    <t>Gerber Natural for Baby Sweet Potato</t>
  </si>
  <si>
    <t>Baby Food Sweet Potatoes</t>
  </si>
  <si>
    <t>Gerber Mealtime for Baby Chicken and Gravy</t>
  </si>
  <si>
    <t>Baby food chicken</t>
  </si>
  <si>
    <t>Gerber Mealtime for Baby Turkey and Gravy</t>
  </si>
  <si>
    <t>Baby food turkey</t>
  </si>
  <si>
    <t>Gerber Mealtime for Baby Beef</t>
  </si>
  <si>
    <t>Baby food beef</t>
  </si>
  <si>
    <t>Fortini Infant</t>
  </si>
  <si>
    <t>Fortini</t>
  </si>
  <si>
    <t>Corn Oil</t>
  </si>
  <si>
    <t>Premier Protein</t>
  </si>
  <si>
    <t>Ketocal 2.5:1 Vanilla</t>
  </si>
  <si>
    <t>Functional Formularies Keto Plant Based</t>
  </si>
  <si>
    <t>FF Keto Plant Based</t>
  </si>
  <si>
    <t>Kate Farms Standard 1.4</t>
  </si>
  <si>
    <t>Compleat Standard Plant Based</t>
  </si>
  <si>
    <t>Peptamen Jr. HP</t>
  </si>
  <si>
    <t>Peptamen 1.5 w/Prebio RTU</t>
  </si>
  <si>
    <t>Peptamen 1.5 Prebio</t>
  </si>
  <si>
    <t>Impact Advanced Recovery RTU</t>
  </si>
  <si>
    <t>Impact Adv Recovery</t>
  </si>
  <si>
    <t>Ensure Pre-Surgery</t>
  </si>
  <si>
    <t>Ensure Pre-Surg</t>
  </si>
  <si>
    <t>Prosource TF</t>
  </si>
  <si>
    <t>Prosource Nocarb</t>
  </si>
  <si>
    <t>Vital Peptide 1.5</t>
  </si>
  <si>
    <t>Peptamen Junior PHGG RTU</t>
  </si>
  <si>
    <t>Peptamen Jr PHGG</t>
  </si>
  <si>
    <t>Glytrol RTU</t>
  </si>
  <si>
    <t>Glytrol</t>
  </si>
  <si>
    <t>Gerber Natural for Baby Corn</t>
  </si>
  <si>
    <t>Baby Food Corn</t>
  </si>
  <si>
    <t>Gerber Natural for Baby Mango</t>
  </si>
  <si>
    <t>Baby Food Mango</t>
  </si>
  <si>
    <t>Compleat Peptide 1.5 RTU</t>
  </si>
  <si>
    <t>Compleat Peptide 1.5</t>
  </si>
  <si>
    <t>Compleat Pediatric Standard 1.0 RTU</t>
  </si>
  <si>
    <t>Compleat Peds 1.0</t>
  </si>
  <si>
    <t>Compleat Pediatric Standard 1.4 RTU</t>
  </si>
  <si>
    <t>Compleat Ped 1.4</t>
  </si>
  <si>
    <t>Compleat Pediatric Peptide 1.0 RTU</t>
  </si>
  <si>
    <t>Compleat Ped Peptide 1.0</t>
  </si>
  <si>
    <t>Carnation Breakfast Essentials High Protein RTU</t>
  </si>
  <si>
    <t>Carnation Essentials HP</t>
  </si>
  <si>
    <t>Carnation Breakfast Essentials Light Start RTU</t>
  </si>
  <si>
    <t>Carnation Light Start</t>
  </si>
  <si>
    <t>Carnation Breakfast Essentials RTF Nutritional Drink RTU</t>
  </si>
  <si>
    <t>Carnation Essentials</t>
  </si>
  <si>
    <t>Boost High Protein RTU</t>
  </si>
  <si>
    <t>Boost HP</t>
  </si>
  <si>
    <t>Boost Women RTU</t>
  </si>
  <si>
    <t>Boost Women</t>
  </si>
  <si>
    <t>Boost Glucose Control MAX RTU</t>
  </si>
  <si>
    <t>Boost BG Control MAX</t>
  </si>
  <si>
    <t>Pediasure Enteral Formula 1.0 Cal with Fiber</t>
  </si>
  <si>
    <t>Pediasure 1.0 with Fiber</t>
  </si>
  <si>
    <t>Pedialyte Zero Sugar Water</t>
  </si>
  <si>
    <t>Pedialyte Fast Hydration</t>
  </si>
  <si>
    <t>Pedialyte Freezer Pops</t>
  </si>
  <si>
    <t>Pedialyte Half Liter</t>
  </si>
  <si>
    <t>Pedialyte Organic</t>
  </si>
  <si>
    <t>Pedialyte Sport</t>
  </si>
  <si>
    <t>Pedialyte Immune Support</t>
  </si>
  <si>
    <t>Pedialyte Advanced Care</t>
  </si>
  <si>
    <t>Pedialyte Advance</t>
  </si>
  <si>
    <t>Pedialyte Advanced Care Plus</t>
  </si>
  <si>
    <t>Pedialyte Adv Plus</t>
  </si>
  <si>
    <t>Similac Sensitive RTF</t>
  </si>
  <si>
    <t>Sim Sensitive RTF</t>
  </si>
  <si>
    <t>Similac Advance Kosher Cholov Yisroel RTU</t>
  </si>
  <si>
    <t>Sim Adv Kosher RTF</t>
  </si>
  <si>
    <t>Real Food Blends (Prunes, Pears &amp; Pumpkin)</t>
  </si>
  <si>
    <t>Real Foods Prunes</t>
  </si>
  <si>
    <t>Pro-Stat</t>
  </si>
  <si>
    <t>Pro-Stat AWC (Advanced Wound Care)</t>
  </si>
  <si>
    <t>Pro-Stat MAX</t>
  </si>
  <si>
    <t>KetoCal 4:1 LQ Chocolate</t>
  </si>
  <si>
    <t>HCU Lophlex LQ</t>
  </si>
  <si>
    <t>MSUD Lophlex LQ</t>
  </si>
  <si>
    <t>PKU Lophlex LQ</t>
  </si>
  <si>
    <t>PhenylAde GMP Ready</t>
  </si>
  <si>
    <t>PhenylAde GMP RTU</t>
  </si>
  <si>
    <t>Order Name</t>
  </si>
  <si>
    <t>Is Modular</t>
  </si>
  <si>
    <t>Mix To Cal or Modular Value</t>
  </si>
  <si>
    <t>Additive Name</t>
  </si>
  <si>
    <t>Enfamil Infant Concentrate</t>
  </si>
  <si>
    <t>Enfamil Infant PWD</t>
  </si>
  <si>
    <t>Enfamil NeuroPro Infant PWD</t>
  </si>
  <si>
    <t>Enfamil Enspire Optimum PWD</t>
  </si>
  <si>
    <t>Enfamil Enspire</t>
  </si>
  <si>
    <t>Enfamil Enspire Gentlease PWD</t>
  </si>
  <si>
    <t>Enfamil Enspire Gentlease</t>
  </si>
  <si>
    <t>Enfamil NeuroPro EnfaCare PWD</t>
  </si>
  <si>
    <t>Enfamil Gentlease PWD</t>
  </si>
  <si>
    <t>Enfamil Gentlease</t>
  </si>
  <si>
    <t>Enfamil NeuroPro Gentlease PWD</t>
  </si>
  <si>
    <t>Enfamil A.R. PWD</t>
  </si>
  <si>
    <t>Enfamil NeuroPro Sensitive PWD</t>
  </si>
  <si>
    <t>Nutramigen Concentrate Liquid</t>
  </si>
  <si>
    <t>Nutramigen with Enflora LGG PWD Can</t>
  </si>
  <si>
    <t>Pregestimil PWD</t>
  </si>
  <si>
    <t>Enfamil ProSobee Concentrate Liquid</t>
  </si>
  <si>
    <t>Enfamil ProSobee PWD</t>
  </si>
  <si>
    <t>Enfamil Reguline PWD</t>
  </si>
  <si>
    <t>Enfagrow PREMIUM Toddler Transitions PWD</t>
  </si>
  <si>
    <t>Enfagrow Gentlease Toddler Transitions PWD</t>
  </si>
  <si>
    <t>Enfagrow PREMIUM Toddler Nutritional Drink Natural Milk PWD</t>
  </si>
  <si>
    <t>Enfagrow PREMIUM Toddler Nutritional Drink Vanilla PWD</t>
  </si>
  <si>
    <t>Enfamil Human Milk Fortifier PWD</t>
  </si>
  <si>
    <t>Enfamil Human Milk Fortifier Acidified</t>
  </si>
  <si>
    <t>Enfamil Liquid Human Milk Fortifier High Protein</t>
  </si>
  <si>
    <t>Enfamil Liquid Human Milk Fortifier Standard Protein</t>
  </si>
  <si>
    <t>Phenyl-Free 1</t>
  </si>
  <si>
    <t>BCAD 1</t>
  </si>
  <si>
    <t>GA</t>
  </si>
  <si>
    <t>HCY 1</t>
  </si>
  <si>
    <t>LMD</t>
  </si>
  <si>
    <t>PFD Toddler</t>
  </si>
  <si>
    <t>TYROS 1</t>
  </si>
  <si>
    <t>OA 1</t>
  </si>
  <si>
    <t>WND 1</t>
  </si>
  <si>
    <t>Phenyl-Free 2</t>
  </si>
  <si>
    <t>Phenyl-Free 2HP</t>
  </si>
  <si>
    <t>BCAD 2</t>
  </si>
  <si>
    <t>HCY 2</t>
  </si>
  <si>
    <t>PFD 2</t>
  </si>
  <si>
    <t>TYROS 2</t>
  </si>
  <si>
    <t>OA 2</t>
  </si>
  <si>
    <t>WND 2</t>
  </si>
  <si>
    <t>Product 3232A Powder</t>
  </si>
  <si>
    <t>Portagen Powder</t>
  </si>
  <si>
    <t>PurAmino Infant</t>
  </si>
  <si>
    <t>PurAmino Jr PWD</t>
  </si>
  <si>
    <t>Similac Advance PWD</t>
  </si>
  <si>
    <t>Sim Advance</t>
  </si>
  <si>
    <t>Similac Advance Concentrate</t>
  </si>
  <si>
    <t>Pure Bliss Organic PWD</t>
  </si>
  <si>
    <t>Pure Bliss Similac Organic with A2 Milk, PWD</t>
  </si>
  <si>
    <t>Pure Bliss Organic w/A2 Milk</t>
  </si>
  <si>
    <t>Similac Organic Toddler with A2 Milk, PWD</t>
  </si>
  <si>
    <t>Sim Organic Toddler w/A2 Milk</t>
  </si>
  <si>
    <t>Similac Sensitive Concentrate</t>
  </si>
  <si>
    <t>Similac 360 Total Care PWD</t>
  </si>
  <si>
    <t>Similac 360 Total Care Sensitive PWD</t>
  </si>
  <si>
    <t>Pure Bliss by Similac Toddler Drink</t>
  </si>
  <si>
    <t>Similac Soy Isomil RTF</t>
  </si>
  <si>
    <t>Sim Soy Iso</t>
  </si>
  <si>
    <t>Similac Soy Isomil Concentrate</t>
  </si>
  <si>
    <t>Similac Neosure PWD</t>
  </si>
  <si>
    <t>Neocate Infant DHA / ARA</t>
  </si>
  <si>
    <t>Neocate Infant</t>
  </si>
  <si>
    <t>Neocate Junior With Prebiotics</t>
  </si>
  <si>
    <t>Neocate Jr.</t>
  </si>
  <si>
    <t>Neocate Junior Vanilla</t>
  </si>
  <si>
    <t>Neocate Jr. Vanilla</t>
  </si>
  <si>
    <t>Neocate Junior Unflavored without prebiotics</t>
  </si>
  <si>
    <t>Neocate Junior</t>
  </si>
  <si>
    <t>Neocate Junior Chocolate</t>
  </si>
  <si>
    <t>Neocate Jr. Chocolate</t>
  </si>
  <si>
    <t>Neocate Junior Tropical</t>
  </si>
  <si>
    <t>Neocate Jr. Tropical</t>
  </si>
  <si>
    <t>Similac Alimentum PWD</t>
  </si>
  <si>
    <t>Similac Pro-Total Comfort 20 PWD</t>
  </si>
  <si>
    <t>Similac Human Milk Fortifier Concentrated Liquid</t>
  </si>
  <si>
    <t>Similac Human Milk Fortifier Hydrolyzed Protein Liquid Pack</t>
  </si>
  <si>
    <t>Liquid Protein Fortifier</t>
  </si>
  <si>
    <t>Similac PM 60/40 PWD</t>
  </si>
  <si>
    <t>Similac PM 60/40</t>
  </si>
  <si>
    <t>EleCare (for infants)</t>
  </si>
  <si>
    <t>EleCare Jr</t>
  </si>
  <si>
    <t>Calcilo XD PWD</t>
  </si>
  <si>
    <t>Calcilo XD</t>
  </si>
  <si>
    <t>Cyclinex-1 PWD</t>
  </si>
  <si>
    <t>Cyclinex-1</t>
  </si>
  <si>
    <t>Cyclinex-2 PWD</t>
  </si>
  <si>
    <t>Cyclinex-2</t>
  </si>
  <si>
    <t>Glutarex-1 PWD</t>
  </si>
  <si>
    <t>Glutarex-1</t>
  </si>
  <si>
    <t>Glutarex-2 PWD</t>
  </si>
  <si>
    <t>Glutarex-2</t>
  </si>
  <si>
    <t>Hominex-1 PWD</t>
  </si>
  <si>
    <t>Hominex-1</t>
  </si>
  <si>
    <t>Hominex-2 PWD</t>
  </si>
  <si>
    <t>Hominex-2</t>
  </si>
  <si>
    <t>I-Valex-1 PWD</t>
  </si>
  <si>
    <t>I-Valex-1</t>
  </si>
  <si>
    <t>I-Valex-2 PWD</t>
  </si>
  <si>
    <t>I-Valex-2</t>
  </si>
  <si>
    <t>Ketonex-1 PWD</t>
  </si>
  <si>
    <t>Ketonex-1</t>
  </si>
  <si>
    <t>Ketonex-2 PWD</t>
  </si>
  <si>
    <t>Ketonex-2</t>
  </si>
  <si>
    <t>Phenex-1 PWD</t>
  </si>
  <si>
    <t>Phenex-1</t>
  </si>
  <si>
    <t>Phenex-2 PWD</t>
  </si>
  <si>
    <t>Phenex-2</t>
  </si>
  <si>
    <t>Pro-Phree PWD</t>
  </si>
  <si>
    <t>Pro-Phree</t>
  </si>
  <si>
    <t>Propimex-1 PWD</t>
  </si>
  <si>
    <t>Propimex-1</t>
  </si>
  <si>
    <t>Propimex-2 PWD</t>
  </si>
  <si>
    <t>Propimex-2</t>
  </si>
  <si>
    <t>ProViMin PWD</t>
  </si>
  <si>
    <t>ProViMin</t>
  </si>
  <si>
    <t>RCF Concentrated Liquid</t>
  </si>
  <si>
    <t>Tyrex-1 PWD</t>
  </si>
  <si>
    <t>Tyrex-1</t>
  </si>
  <si>
    <t>Tyrex-2 PWD</t>
  </si>
  <si>
    <t>Tyrex-2</t>
  </si>
  <si>
    <t>Alfamino Junior PWD</t>
  </si>
  <si>
    <t>Alfamino Jr.</t>
  </si>
  <si>
    <t>Alfamino Infant PWD</t>
  </si>
  <si>
    <t>Alfamino</t>
  </si>
  <si>
    <t>RenaStart</t>
  </si>
  <si>
    <t>Vivonex Pediatric PWD</t>
  </si>
  <si>
    <t>Vivonex Peds</t>
  </si>
  <si>
    <t>Beneprotein PWD</t>
  </si>
  <si>
    <t>Beneprotein</t>
  </si>
  <si>
    <t>Mct Oil Concentrate</t>
  </si>
  <si>
    <t>MCT Oil</t>
  </si>
  <si>
    <t>Microlipid Concentrate</t>
  </si>
  <si>
    <t>Carnation Breakfast Essentials Powder</t>
  </si>
  <si>
    <t>Gerber Good Start Gentle Concentrate</t>
  </si>
  <si>
    <t>Gerber Good Start Gentle Powder</t>
  </si>
  <si>
    <t>Gerber Good Start Soy Formula Concentrate</t>
  </si>
  <si>
    <t>Gerber Good Start Soy Powder</t>
  </si>
  <si>
    <t>Gerber Rice Cereal</t>
  </si>
  <si>
    <t>Pediasmart Soy Vanilla powder</t>
  </si>
  <si>
    <t>Pediasmart Soy</t>
  </si>
  <si>
    <t>Pediasmart Vanilla powder</t>
  </si>
  <si>
    <t>Pediasmart</t>
  </si>
  <si>
    <t>PKU Periflex Early Years Powder</t>
  </si>
  <si>
    <t>PKU Periflex Early Years</t>
  </si>
  <si>
    <t>Duocal</t>
  </si>
  <si>
    <t>Complete Amino Acid Mix</t>
  </si>
  <si>
    <t>Tolerex PWD</t>
  </si>
  <si>
    <t>Tolerex</t>
  </si>
  <si>
    <t>Polycal</t>
  </si>
  <si>
    <t>Monogen</t>
  </si>
  <si>
    <t>Phlexy-Vits</t>
  </si>
  <si>
    <t>Resource Thickenup PWD</t>
  </si>
  <si>
    <t>Resource Thickenup</t>
  </si>
  <si>
    <t>Simply Thick Honey</t>
  </si>
  <si>
    <t>Simply Thick Nectar</t>
  </si>
  <si>
    <t>SOD Anamix Early Years Powder</t>
  </si>
  <si>
    <t>SOD Anamix Early Years</t>
  </si>
  <si>
    <t>SolCarb</t>
  </si>
  <si>
    <t>Periflex Advance</t>
  </si>
  <si>
    <t>Prolact+4 HMF</t>
  </si>
  <si>
    <t>Prolact+6 HMF</t>
  </si>
  <si>
    <t>Prolact+8 HMF</t>
  </si>
  <si>
    <t>Prolact+10 HMF</t>
  </si>
  <si>
    <t>Prolact CR</t>
  </si>
  <si>
    <t>Liquigen</t>
  </si>
  <si>
    <t>Liquigen MCT</t>
  </si>
  <si>
    <t>Gerber Good Start Soothe with Probiotics</t>
  </si>
  <si>
    <t>Gerber Good Start Soothe</t>
  </si>
  <si>
    <t>Gerber Good Start Gentle Probiotic</t>
  </si>
  <si>
    <t>Gerber Good Start Gentle Pro</t>
  </si>
  <si>
    <t>Ketocal 4:1 Powder</t>
  </si>
  <si>
    <t>Ketocal 3:1 Powder</t>
  </si>
  <si>
    <t>Ketocal 3:1</t>
  </si>
  <si>
    <t>Nutrisource Fiber PWD</t>
  </si>
  <si>
    <t>Nutrisource Fiber</t>
  </si>
  <si>
    <t>Gerber Extensive HA</t>
  </si>
  <si>
    <t>Gelmix</t>
  </si>
  <si>
    <t>Juven</t>
  </si>
  <si>
    <t>Neocate Syneo Infant</t>
  </si>
  <si>
    <t>Ceralyte 90</t>
  </si>
  <si>
    <t>Ceralyte 50</t>
  </si>
  <si>
    <t>Thick &amp; Easy Honey</t>
  </si>
  <si>
    <t>Thick &amp; Easy Nectar</t>
  </si>
  <si>
    <t>Vivonex T.E.N. PWD</t>
  </si>
  <si>
    <t>Vivonex TEN PWD</t>
  </si>
  <si>
    <t>Citrulline 1000</t>
  </si>
  <si>
    <t>Essential Amino Acid Mix</t>
  </si>
  <si>
    <t>Glutarade Essential</t>
  </si>
  <si>
    <t>IVA Anamix Early Years</t>
  </si>
  <si>
    <t>MMA/PA Anamix Early Years</t>
  </si>
  <si>
    <t>UCD Anamix Junior</t>
  </si>
  <si>
    <t>Cornstarch</t>
  </si>
  <si>
    <t>L-isoleucine</t>
  </si>
  <si>
    <t>Evivo with MCT</t>
  </si>
  <si>
    <t>UCD Trio</t>
  </si>
  <si>
    <t>UCD Anamix Infant</t>
  </si>
  <si>
    <t>Happy Baby Organic</t>
  </si>
  <si>
    <t>Unjury</t>
  </si>
  <si>
    <t>Unjury Pwd</t>
  </si>
  <si>
    <t>Banatrol Plus</t>
  </si>
  <si>
    <t>Cholextra t/f</t>
  </si>
  <si>
    <t>Cholextra</t>
  </si>
  <si>
    <t>Methionine 100</t>
  </si>
  <si>
    <t>Methionine</t>
  </si>
  <si>
    <t>Nutramigen with Enflora LGG Toddler Pwd Can</t>
  </si>
  <si>
    <t>ThickenUp Clear PWD</t>
  </si>
  <si>
    <t>Thickenup Clear</t>
  </si>
  <si>
    <t>Vivonex Plus PWD</t>
  </si>
  <si>
    <t>Vivonex Plus</t>
  </si>
  <si>
    <t>SMA Nutrition Althera</t>
  </si>
  <si>
    <t>Carnation Breakfast Essentials High Protein PWD</t>
  </si>
  <si>
    <t>Boost Original Balanced Nutritional PWD</t>
  </si>
  <si>
    <t>Boost Original PWD</t>
  </si>
  <si>
    <t>Arginaid Arginine PWD</t>
  </si>
  <si>
    <t>Arginaid</t>
  </si>
  <si>
    <t>Arginaid Extra RTU</t>
  </si>
  <si>
    <t>Arginaid Extra</t>
  </si>
  <si>
    <t>Pure Bliss Irish Farms PWD</t>
  </si>
  <si>
    <t>Pure Bliss Irish Farms</t>
  </si>
  <si>
    <t>Pedialyte Classic Powder Packs</t>
  </si>
  <si>
    <t>Pedialyte Zero Sugar Powder Packs</t>
  </si>
  <si>
    <t>Pedialyte Fast Hydration Powder Packs</t>
  </si>
  <si>
    <t>Pedialyte Sport Powder Packs</t>
  </si>
  <si>
    <t>Pedialyte Immune Support Powder Packs</t>
  </si>
  <si>
    <t>Similac Sensitive Powder</t>
  </si>
  <si>
    <t>Sim Sensitive PWD</t>
  </si>
  <si>
    <t>Similac Advance Lamehadrin</t>
  </si>
  <si>
    <t>Similac Soy Isomil PWD</t>
  </si>
  <si>
    <t>TYR Lophlex GMP Mix In</t>
  </si>
  <si>
    <t>TYR Anamix Early Years</t>
  </si>
  <si>
    <t>MMA/PA Maxamum</t>
  </si>
  <si>
    <t>MMA/PA Anamix Next</t>
  </si>
  <si>
    <t>HCU Maxamum</t>
  </si>
  <si>
    <t>HCU Anamix Next</t>
  </si>
  <si>
    <t>HCU Anamix Early Years</t>
  </si>
  <si>
    <t>Glutarade Amino Acid Blend</t>
  </si>
  <si>
    <t>GA-1 Anamix Early Years</t>
  </si>
  <si>
    <t>IVA Maxamum</t>
  </si>
  <si>
    <t>IVA Anamix Next</t>
  </si>
  <si>
    <t>MSUD Maxamum</t>
  </si>
  <si>
    <t>Complex MSD Amino Acid Blend</t>
  </si>
  <si>
    <t>MSD AA Blend</t>
  </si>
  <si>
    <t>Complex MSD Essential</t>
  </si>
  <si>
    <t>MSD Essential</t>
  </si>
  <si>
    <t>MSUD Anamix Early Years</t>
  </si>
  <si>
    <t>MSUD Anamix</t>
  </si>
  <si>
    <t>Phlexy-10 Drink Mix</t>
  </si>
  <si>
    <t>Phlexy-10 Drink</t>
  </si>
  <si>
    <t>PKU Lophlex Powder</t>
  </si>
  <si>
    <t>PKU Maxamum</t>
  </si>
  <si>
    <t>PhenylAde Amino Acid Blends</t>
  </si>
  <si>
    <t>PhenylAde AA Blend</t>
  </si>
  <si>
    <t>PhenylAde 60 Drink Mix</t>
  </si>
  <si>
    <t>PhenylAde 60</t>
  </si>
  <si>
    <t>PhenylAde Essential Drink Mix</t>
  </si>
  <si>
    <t>PhenylAde Essential</t>
  </si>
  <si>
    <t>PhenylAde GMP Mix In</t>
  </si>
  <si>
    <t>PhenylAde Mix</t>
  </si>
  <si>
    <t>PhenylAde GMP Ultra</t>
  </si>
  <si>
    <t>PhenylAde Ultra</t>
  </si>
  <si>
    <t>PhenylAde GMP Drink Mix</t>
  </si>
  <si>
    <t>PhenylAde GMP</t>
  </si>
  <si>
    <t>PKU Periflex Junior Plus</t>
  </si>
  <si>
    <t>Periflex Jr Plus</t>
  </si>
  <si>
    <t>Neocate Junior Strawberry</t>
  </si>
  <si>
    <t>Neocate Nutra</t>
  </si>
  <si>
    <t>Pepticate Infant Formula</t>
  </si>
  <si>
    <t>Pepticate Infant</t>
  </si>
  <si>
    <t>TYR Anamix Next</t>
  </si>
  <si>
    <t>Short Name</t>
  </si>
  <si>
    <t>EHM + Fortifiers</t>
  </si>
  <si>
    <t>EHM + Fortifiers Label Note</t>
  </si>
  <si>
    <t>EHM +Fortifier + Modular</t>
  </si>
  <si>
    <t>EHM + Fortifier + Modular Label Note</t>
  </si>
  <si>
    <t>Product without Fortifier</t>
  </si>
  <si>
    <t>Base Product ShortName</t>
  </si>
  <si>
    <t>Product without Fortifier Label Note</t>
  </si>
  <si>
    <t>Product +  Fortifiers</t>
  </si>
  <si>
    <t>Product</t>
  </si>
  <si>
    <t>Product + Fortifier Label Note</t>
  </si>
  <si>
    <t>formtypeCalPerOz</t>
  </si>
  <si>
    <t>Base Product Cal</t>
  </si>
  <si>
    <t>Product +  Fortifier + Modular</t>
  </si>
  <si>
    <t>Product + Fortifier + Modular Label Note</t>
  </si>
  <si>
    <t>Sterile Water + Fortifiers</t>
  </si>
  <si>
    <t>Sterile Water + Fortifier + Modular</t>
  </si>
  <si>
    <t>Sterile Water</t>
  </si>
  <si>
    <t>Sterile Water + Fortifier Label Note</t>
  </si>
  <si>
    <t>Sterile Water + Fortifier + Modular Label Note</t>
  </si>
  <si>
    <t>DHM + Fortifiers</t>
  </si>
  <si>
    <t>DHM +Fortifier + Modular</t>
  </si>
  <si>
    <t>EHM or DHM + Fortifiers</t>
  </si>
  <si>
    <t>EHM or DHM + Fortifier + Modular</t>
  </si>
  <si>
    <t>002</t>
  </si>
  <si>
    <t>GUARDIAN FOR TWIN</t>
  </si>
  <si>
    <t>TESTING</t>
  </si>
  <si>
    <t>TWIN BABY A</t>
  </si>
  <si>
    <t>TWIN BABY B</t>
  </si>
  <si>
    <t>NO SIBLING</t>
  </si>
  <si>
    <t>G231</t>
  </si>
  <si>
    <t>NO SIBLING GUARDIAN</t>
  </si>
  <si>
    <t>003</t>
  </si>
  <si>
    <t>VisitNumber</t>
  </si>
  <si>
    <t>MPID</t>
  </si>
  <si>
    <t>Settings Name</t>
  </si>
  <si>
    <t>VALUE</t>
  </si>
  <si>
    <t>cal_per_oz_unit_conversion</t>
  </si>
  <si>
    <t>KCAL_PER_100_MLS</t>
  </si>
  <si>
    <t>KCAL_PER_OZ_DEFAULT</t>
  </si>
  <si>
    <t>KCAL_PER_ML</t>
  </si>
  <si>
    <t>ui/decimal/rounding/cals</t>
  </si>
  <si>
    <t>Scenario Name</t>
  </si>
  <si>
    <t>Product Name</t>
  </si>
  <si>
    <t>Split Powder Product to Assigned Patient</t>
  </si>
  <si>
    <t>Split Powder Product to Unassigned Patient</t>
  </si>
  <si>
    <t>Split Received RTU Product to Assigned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</si>
</sst>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22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49" fontId="0" fillId="0" borderId="0" xfId="0" applyNumberFormat="1"/>
    <xf numFmtId="14" fontId="0" fillId="0" borderId="0" xfId="0" applyNumberFormat="1"/>
    <xf numFmtId="0" fontId="0" fillId="0" borderId="0" xfId="0" applyProtection="1">
      <protection locked="0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2">
    <dxf>
      <font>
        <strike val="0"/>
        <color theme="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guardian@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B898-03AF-4314-BBE1-C81D9493E022}">
  <dimension ref="A1:I3"/>
  <sheetViews>
    <sheetView workbookViewId="0">
      <selection activeCell="C47" sqref="C47"/>
    </sheetView>
  </sheetViews>
  <sheetFormatPr defaultRowHeight="15" x14ac:dyDescent="0.25"/>
  <cols>
    <col min="1" max="1" width="25.140625" bestFit="1" customWidth="1"/>
    <col min="4" max="4" width="15.42578125" bestFit="1" customWidth="1"/>
    <col min="5" max="5" width="15.42578125" customWidth="1"/>
    <col min="6" max="6" width="12" bestFit="1" customWidth="1"/>
    <col min="7" max="7" width="17.7109375" bestFit="1" customWidth="1"/>
    <col min="8" max="8" width="26.28515625" bestFit="1" customWidth="1"/>
    <col min="9" max="9" width="11.140625" bestFit="1" customWidth="1"/>
  </cols>
  <sheetData>
    <row r="1" spans="1:9" x14ac:dyDescent="0.25">
      <c r="A1" t="s">
        <v>13</v>
      </c>
      <c r="B1" t="s">
        <v>14</v>
      </c>
      <c r="C1" t="s">
        <v>0</v>
      </c>
      <c r="D1" t="s">
        <v>15</v>
      </c>
      <c r="E1" t="s">
        <v>672</v>
      </c>
      <c r="F1" t="s">
        <v>16</v>
      </c>
      <c r="G1" t="s">
        <v>17</v>
      </c>
      <c r="H1" t="s">
        <v>18</v>
      </c>
      <c r="I1" t="s">
        <v>20</v>
      </c>
    </row>
    <row r="2" spans="1:9" x14ac:dyDescent="0.25">
      <c r="A2" t="s">
        <v>670</v>
      </c>
      <c r="B2" t="s">
        <v>665</v>
      </c>
      <c r="C2" t="s">
        <v>669</v>
      </c>
      <c r="D2" t="s">
        <v>669</v>
      </c>
      <c r="E2" t="s">
        <v>669</v>
      </c>
      <c r="I2" s="3">
        <v>27051</v>
      </c>
    </row>
    <row r="3" spans="1:9" x14ac:dyDescent="0.25">
      <c r="A3" t="s">
        <v>664</v>
      </c>
      <c r="B3" t="s">
        <v>1</v>
      </c>
      <c r="C3" t="s">
        <v>12</v>
      </c>
      <c r="D3" t="s">
        <v>12</v>
      </c>
      <c r="E3" t="s">
        <v>12</v>
      </c>
      <c r="F3">
        <v>1111111111</v>
      </c>
      <c r="G3" s="2">
        <v>2222222222</v>
      </c>
      <c r="H3" s="1" t="s">
        <v>2</v>
      </c>
      <c r="I3" s="3">
        <v>27051</v>
      </c>
    </row>
  </sheetData>
  <sheetProtection algorithmName="SHA-512" hashValue="5JICdRqqxYXeIxo3s7ABXwqA3CdXl1Qx/CB33mAalPM/AWLSeAP7I0TOvdEef55q79bdx/gdlpuo17qauqtC+w==" saltValue="XTo3w2aseXBxXE59h9TZNA==" spinCount="100000" sheet="1" objects="1" scenarios="1"/>
  <hyperlinks>
    <hyperlink ref="H3" r:id="rId1" xr:uid="{7446A7C7-206B-4FE5-9202-6CC7E18292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1914-52A6-4FDD-A918-4FCC1614BE99}">
  <dimension ref="A1:L4"/>
  <sheetViews>
    <sheetView workbookViewId="0">
      <selection activeCell="T7" sqref="T7"/>
    </sheetView>
  </sheetViews>
  <sheetFormatPr defaultRowHeight="15" x14ac:dyDescent="0.25"/>
  <cols>
    <col min="4" max="4" width="12" bestFit="1" customWidth="1"/>
    <col min="10" max="10" width="9.140625" style="2"/>
    <col min="11" max="11" width="15.5703125" bestFit="1" customWidth="1"/>
    <col min="12" max="12" width="14.42578125" bestFit="1" customWidth="1"/>
  </cols>
  <sheetData>
    <row r="1" spans="1:12" x14ac:dyDescent="0.25">
      <c r="A1" t="s">
        <v>13</v>
      </c>
      <c r="B1" t="s">
        <v>19</v>
      </c>
      <c r="C1" t="s">
        <v>14</v>
      </c>
      <c r="D1" t="s">
        <v>20</v>
      </c>
      <c r="E1" t="s">
        <v>21</v>
      </c>
      <c r="F1" t="s">
        <v>15</v>
      </c>
      <c r="G1" t="s">
        <v>672</v>
      </c>
      <c r="H1" t="s">
        <v>673</v>
      </c>
      <c r="I1" t="s">
        <v>3</v>
      </c>
      <c r="J1" s="2" t="s">
        <v>4</v>
      </c>
      <c r="K1" t="s">
        <v>22</v>
      </c>
      <c r="L1" t="s">
        <v>23</v>
      </c>
    </row>
    <row r="2" spans="1:12" x14ac:dyDescent="0.25">
      <c r="A2" t="s">
        <v>668</v>
      </c>
      <c r="C2" t="s">
        <v>665</v>
      </c>
      <c r="D2" s="3">
        <v>45344</v>
      </c>
      <c r="E2">
        <v>12345</v>
      </c>
      <c r="F2">
        <v>12345</v>
      </c>
      <c r="G2">
        <v>12345</v>
      </c>
      <c r="H2">
        <v>12345</v>
      </c>
      <c r="I2">
        <v>300</v>
      </c>
      <c r="J2" s="2" t="s">
        <v>671</v>
      </c>
      <c r="K2" t="s">
        <v>669</v>
      </c>
      <c r="L2">
        <v>1</v>
      </c>
    </row>
    <row r="3" spans="1:12" x14ac:dyDescent="0.25">
      <c r="A3" t="s">
        <v>666</v>
      </c>
      <c r="C3" t="s">
        <v>1</v>
      </c>
      <c r="E3">
        <v>123</v>
      </c>
      <c r="F3">
        <v>123</v>
      </c>
      <c r="G3">
        <v>123</v>
      </c>
      <c r="H3">
        <v>123</v>
      </c>
      <c r="I3">
        <v>100</v>
      </c>
      <c r="J3" s="2" t="s">
        <v>5</v>
      </c>
      <c r="K3" t="str">
        <f>Guardian!C3</f>
        <v>G123</v>
      </c>
    </row>
    <row r="4" spans="1:12" x14ac:dyDescent="0.25">
      <c r="A4" t="s">
        <v>667</v>
      </c>
      <c r="C4" t="s">
        <v>1</v>
      </c>
      <c r="E4">
        <v>1234</v>
      </c>
      <c r="F4">
        <v>1234</v>
      </c>
      <c r="G4">
        <v>1234</v>
      </c>
      <c r="H4">
        <v>1234</v>
      </c>
      <c r="I4">
        <v>200</v>
      </c>
      <c r="J4" s="2" t="s">
        <v>663</v>
      </c>
      <c r="K4" t="s">
        <v>12</v>
      </c>
    </row>
  </sheetData>
  <sheetProtection algorithmName="SHA-512" hashValue="NF2TQnRWarQJwEdX9CaTI/FvTR5PiKx9LofGmm057VfRuVfa0ekBHgzMSOC3YZk7N7afAZivJP3mtcQ5uB9s+Q==" saltValue="HwaSwJUgUdi3sud9zMUow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0DA0-60E8-49BA-9807-75EAC6F400B7}">
  <dimension ref="A1:L32"/>
  <sheetViews>
    <sheetView zoomScale="90" zoomScaleNormal="90" workbookViewId="0">
      <selection activeCell="C24" sqref="C24"/>
    </sheetView>
  </sheetViews>
  <sheetFormatPr defaultRowHeight="15" x14ac:dyDescent="0.25"/>
  <cols>
    <col min="1" max="1" width="28.28515625" bestFit="1" customWidth="1"/>
    <col min="2" max="2" width="11.7109375" bestFit="1" customWidth="1"/>
    <col min="3" max="3" width="23" bestFit="1" customWidth="1"/>
    <col min="4" max="5" width="23" hidden="1" customWidth="1"/>
    <col min="6" max="6" width="12.28515625" bestFit="1" customWidth="1"/>
    <col min="7" max="7" width="10" bestFit="1" customWidth="1"/>
    <col min="8" max="8" width="37.28515625" bestFit="1" customWidth="1"/>
    <col min="9" max="9" width="30.42578125" bestFit="1" customWidth="1"/>
    <col min="10" max="10" width="30.42578125" hidden="1" customWidth="1"/>
    <col min="11" max="11" width="10.140625" bestFit="1" customWidth="1"/>
    <col min="12" max="12" width="25.28515625" bestFit="1" customWidth="1"/>
  </cols>
  <sheetData>
    <row r="1" spans="1:12" x14ac:dyDescent="0.25">
      <c r="A1" s="6" t="s">
        <v>362</v>
      </c>
      <c r="B1" s="6" t="s">
        <v>6</v>
      </c>
      <c r="C1" s="5" t="s">
        <v>7</v>
      </c>
      <c r="D1" s="5" t="s">
        <v>645</v>
      </c>
      <c r="E1" s="5" t="s">
        <v>651</v>
      </c>
      <c r="F1" s="5" t="s">
        <v>8</v>
      </c>
      <c r="G1" s="5" t="s">
        <v>9</v>
      </c>
      <c r="H1" s="6" t="s">
        <v>10</v>
      </c>
      <c r="I1" s="5" t="s">
        <v>365</v>
      </c>
      <c r="J1" s="5" t="s">
        <v>639</v>
      </c>
      <c r="K1" s="8" t="s">
        <v>363</v>
      </c>
      <c r="L1" s="6" t="s">
        <v>364</v>
      </c>
    </row>
    <row r="2" spans="1:12" x14ac:dyDescent="0.25">
      <c r="A2" s="7" t="s">
        <v>640</v>
      </c>
      <c r="B2" s="7" t="s">
        <v>11</v>
      </c>
      <c r="F2" s="4">
        <v>10</v>
      </c>
      <c r="H2" s="7" t="s">
        <v>641</v>
      </c>
      <c r="K2" s="7"/>
      <c r="L2" s="7"/>
    </row>
    <row r="3" spans="1:12" x14ac:dyDescent="0.25">
      <c r="A3" s="7"/>
      <c r="B3" s="7"/>
      <c r="F3" s="4"/>
      <c r="H3" s="7"/>
      <c r="I3" s="4" t="s">
        <v>367</v>
      </c>
      <c r="J3" s="4" t="str">
        <f>IF(VLOOKUP(I3, OrderAdditives!A:B, 2, FALSE)=0, "", VLOOKUP(I3, OrderAdditives!A:B, 2, FALSE))</f>
        <v>Enfamil Infant</v>
      </c>
      <c r="K3" s="9" t="b">
        <v>0</v>
      </c>
      <c r="L3" s="7">
        <f>IFERROR(ROUND(IF(Setup!B2=Setup!F1, 22*Setup!F2, IF(Setup!B2=Setup!E1, 22*Setup!E2, IF(Setup!B2=Setup!D1, 22*Setup!D2, 0))), IF(Setup!B2=Setup!D1, 0, Setup!B3)), 0)</f>
        <v>22</v>
      </c>
    </row>
    <row r="4" spans="1:12" x14ac:dyDescent="0.25">
      <c r="A4" s="7"/>
      <c r="B4" s="7"/>
      <c r="H4" s="7"/>
      <c r="I4" s="4" t="s">
        <v>499</v>
      </c>
      <c r="J4" s="4" t="str">
        <f>IF(VLOOKUP(I4, OrderAdditives!A:B, 2, FALSE)=0, "", VLOOKUP(I4, OrderAdditives!A:B, 2, FALSE))</f>
        <v>MCT Oil</v>
      </c>
      <c r="K4" s="9" t="b">
        <v>0</v>
      </c>
      <c r="L4" s="7">
        <f>IFERROR(ROUND(IF(Setup!B2=Setup!F1, 24*Setup!F2, IF(Setup!B2=Setup!E1, 24*Setup!E2, IF(Setup!B2=Setup!D1, 24*Setup!D2, 0))), IF(Setup!B2=Setup!D1, 0, Setup!B3)), 0)</f>
        <v>24</v>
      </c>
    </row>
    <row r="5" spans="1:12" x14ac:dyDescent="0.25">
      <c r="A5" s="7" t="s">
        <v>642</v>
      </c>
      <c r="B5" s="7" t="s">
        <v>11</v>
      </c>
      <c r="F5" s="4">
        <v>10</v>
      </c>
      <c r="H5" s="7" t="s">
        <v>643</v>
      </c>
      <c r="K5" s="7"/>
      <c r="L5" s="7"/>
    </row>
    <row r="6" spans="1:12" x14ac:dyDescent="0.25">
      <c r="A6" s="7"/>
      <c r="B6" s="7"/>
      <c r="H6" s="7"/>
      <c r="I6" s="4" t="s">
        <v>367</v>
      </c>
      <c r="J6" s="4" t="str">
        <f>IF(VLOOKUP(I6, OrderAdditives!A:B, 2, FALSE)=0, "", VLOOKUP(I6, OrderAdditives!A:B, 2, FALSE))</f>
        <v>Enfamil Infant</v>
      </c>
      <c r="K6" s="9" t="b">
        <v>0</v>
      </c>
      <c r="L6" s="7">
        <f>IFERROR(ROUND(IF(Setup!B2=Setup!F1, 22*Setup!F2, IF(Setup!B2=Setup!E1, 22*Setup!E2, IF(Setup!B2=Setup!D1, 22*Setup!D2, 0))), IF(Setup!B2=Setup!D1, 0, Setup!B3)), 0)</f>
        <v>22</v>
      </c>
    </row>
    <row r="7" spans="1:12" x14ac:dyDescent="0.25">
      <c r="A7" s="7"/>
      <c r="B7" s="7"/>
      <c r="H7" s="7"/>
      <c r="I7" s="4" t="s">
        <v>499</v>
      </c>
      <c r="J7" s="4" t="str">
        <f>IF(VLOOKUP(I7, OrderAdditives!A:B, 2, FALSE)=0, "", VLOOKUP(I7, OrderAdditives!A:B, 2, FALSE))</f>
        <v>MCT Oil</v>
      </c>
      <c r="K7" s="9" t="b">
        <v>1</v>
      </c>
      <c r="L7" s="7">
        <v>0.2</v>
      </c>
    </row>
    <row r="8" spans="1:12" x14ac:dyDescent="0.25">
      <c r="A8" s="7" t="s">
        <v>659</v>
      </c>
      <c r="B8" s="7" t="s">
        <v>11</v>
      </c>
      <c r="F8" s="4">
        <v>10</v>
      </c>
      <c r="H8" s="7" t="s">
        <v>641</v>
      </c>
      <c r="K8" s="7"/>
      <c r="L8" s="7"/>
    </row>
    <row r="9" spans="1:12" x14ac:dyDescent="0.25">
      <c r="A9" s="7"/>
      <c r="B9" s="7"/>
      <c r="F9" s="4"/>
      <c r="H9" s="7"/>
      <c r="I9" s="4" t="s">
        <v>367</v>
      </c>
      <c r="J9" s="4" t="str">
        <f>IF(VLOOKUP(I9, OrderAdditives!A:B, 2, FALSE)=0, "", VLOOKUP(I9, OrderAdditives!A:B, 2, FALSE))</f>
        <v>Enfamil Infant</v>
      </c>
      <c r="K9" s="9" t="b">
        <v>0</v>
      </c>
      <c r="L9" s="7">
        <f>IFERROR(ROUND(IF(Setup!B2=Setup!F1, 22*Setup!F2, IF(Setup!B2=Setup!E1, 22*Setup!E2, IF(Setup!B2=Setup!D1, 22*Setup!D2, 0))), IF(Setup!B2=Setup!D1, 0, Setup!B3)), 0)</f>
        <v>22</v>
      </c>
    </row>
    <row r="10" spans="1:12" x14ac:dyDescent="0.25">
      <c r="A10" s="7"/>
      <c r="B10" s="7"/>
      <c r="H10" s="7"/>
      <c r="I10" s="4" t="s">
        <v>499</v>
      </c>
      <c r="J10" s="4" t="str">
        <f>IF(VLOOKUP(I10, OrderAdditives!A:B, 2, FALSE)=0, "", VLOOKUP(I10, OrderAdditives!A:B, 2, FALSE))</f>
        <v>MCT Oil</v>
      </c>
      <c r="K10" s="9" t="b">
        <v>0</v>
      </c>
      <c r="L10" s="7">
        <f>IFERROR(ROUND(IF(Setup!B2=Setup!F1, 24*Setup!F2, IF(Setup!B2=Setup!E1, 24*Setup!E2, IF(Setup!B2=Setup!D1, 24*Setup!D2, 0))), IF(Setup!B2=Setup!D1, 0, Setup!B3)), 0)</f>
        <v>24</v>
      </c>
    </row>
    <row r="11" spans="1:12" x14ac:dyDescent="0.25">
      <c r="A11" s="7" t="s">
        <v>660</v>
      </c>
      <c r="B11" s="7" t="s">
        <v>11</v>
      </c>
      <c r="F11" s="4">
        <v>10</v>
      </c>
      <c r="H11" s="7" t="s">
        <v>643</v>
      </c>
      <c r="K11" s="7"/>
      <c r="L11" s="7"/>
    </row>
    <row r="12" spans="1:12" x14ac:dyDescent="0.25">
      <c r="A12" s="7"/>
      <c r="B12" s="7"/>
      <c r="H12" s="7"/>
      <c r="I12" s="4" t="s">
        <v>367</v>
      </c>
      <c r="J12" s="4" t="str">
        <f>IF(VLOOKUP(I12, OrderAdditives!A:B, 2, FALSE)=0, "", VLOOKUP(I12, OrderAdditives!A:B, 2, FALSE))</f>
        <v>Enfamil Infant</v>
      </c>
      <c r="K12" s="9" t="b">
        <v>0</v>
      </c>
      <c r="L12" s="7">
        <f>IFERROR(ROUND(IF(Setup!B2=Setup!F1, 22*Setup!F2, IF(Setup!B2=Setup!E1, 22*Setup!E2, IF(Setup!B2=Setup!D1, 22*Setup!D2, 0))), IF(Setup!B2=Setup!D1, 0, Setup!B3)), 0)</f>
        <v>22</v>
      </c>
    </row>
    <row r="13" spans="1:12" x14ac:dyDescent="0.25">
      <c r="A13" s="7"/>
      <c r="B13" s="7"/>
      <c r="H13" s="7"/>
      <c r="I13" s="4" t="s">
        <v>499</v>
      </c>
      <c r="J13" s="4" t="str">
        <f>IF(VLOOKUP(I13, OrderAdditives!A:B, 2, FALSE)=0, "", VLOOKUP(I13, OrderAdditives!A:B, 2, FALSE))</f>
        <v>MCT Oil</v>
      </c>
      <c r="K13" s="9" t="b">
        <v>1</v>
      </c>
      <c r="L13" s="7">
        <v>0.2</v>
      </c>
    </row>
    <row r="14" spans="1:12" x14ac:dyDescent="0.25">
      <c r="A14" s="7" t="s">
        <v>661</v>
      </c>
      <c r="B14" s="7" t="s">
        <v>11</v>
      </c>
      <c r="F14" s="4">
        <v>10</v>
      </c>
      <c r="H14" s="7" t="s">
        <v>641</v>
      </c>
      <c r="K14" s="7"/>
      <c r="L14" s="7"/>
    </row>
    <row r="15" spans="1:12" x14ac:dyDescent="0.25">
      <c r="A15" s="7"/>
      <c r="B15" s="7"/>
      <c r="F15" s="4"/>
      <c r="H15" s="7"/>
      <c r="I15" s="4" t="s">
        <v>367</v>
      </c>
      <c r="J15" s="4" t="str">
        <f>IF(VLOOKUP(I15, OrderAdditives!A:B, 2, FALSE)=0, "", VLOOKUP(I15, OrderAdditives!A:B, 2, FALSE))</f>
        <v>Enfamil Infant</v>
      </c>
      <c r="K15" s="9" t="b">
        <v>0</v>
      </c>
      <c r="L15" s="7">
        <f>IFERROR(ROUND(IF(Setup!B2=Setup!F1, 22*Setup!F2, IF(Setup!B2=Setup!E1, 22*Setup!E2, IF(Setup!B2=Setup!D1, 22*Setup!D2, 0))), IF(Setup!B2=Setup!D1, 0, Setup!B3)), 0)</f>
        <v>22</v>
      </c>
    </row>
    <row r="16" spans="1:12" x14ac:dyDescent="0.25">
      <c r="A16" s="7"/>
      <c r="B16" s="7"/>
      <c r="H16" s="7"/>
      <c r="I16" s="4" t="s">
        <v>499</v>
      </c>
      <c r="J16" s="4" t="str">
        <f>IF(VLOOKUP(I16, OrderAdditives!A:B, 2, FALSE)=0, "", VLOOKUP(I16, OrderAdditives!A:B, 2, FALSE))</f>
        <v>MCT Oil</v>
      </c>
      <c r="K16" s="9" t="b">
        <v>0</v>
      </c>
      <c r="L16" s="7">
        <f>IFERROR(ROUND(IF(Setup!B2=Setup!F1, 24*Setup!F2, IF(Setup!B2=Setup!E1, 24*Setup!E2, IF(Setup!B2=Setup!D1, 24*Setup!D2, 0))), IF(Setup!B2=Setup!D1, 0, Setup!B3)), 0)</f>
        <v>24</v>
      </c>
    </row>
    <row r="17" spans="1:12" x14ac:dyDescent="0.25">
      <c r="A17" s="7" t="s">
        <v>662</v>
      </c>
      <c r="B17" s="7" t="s">
        <v>11</v>
      </c>
      <c r="F17" s="4">
        <v>10</v>
      </c>
      <c r="H17" s="7" t="s">
        <v>641</v>
      </c>
      <c r="K17" s="7"/>
      <c r="L17" s="7"/>
    </row>
    <row r="18" spans="1:12" x14ac:dyDescent="0.25">
      <c r="A18" s="7"/>
      <c r="B18" s="7"/>
      <c r="F18" s="4"/>
      <c r="H18" s="7"/>
      <c r="I18" s="4" t="s">
        <v>367</v>
      </c>
      <c r="J18" s="4" t="str">
        <f>IF(VLOOKUP(I18, OrderAdditives!A:B, 2, FALSE)=0, "", VLOOKUP(I18, OrderAdditives!A:B, 2, FALSE))</f>
        <v>Enfamil Infant</v>
      </c>
      <c r="K18" s="9" t="b">
        <v>0</v>
      </c>
      <c r="L18" s="7">
        <f>IFERROR(ROUND(IF(Setup!B2=Setup!F1, 22*Setup!F2, IF(Setup!B2=Setup!E1, 22*Setup!E2, IF(Setup!B2=Setup!D1, 22*Setup!D2, 0))), IF(Setup!B2=Setup!D1, 0, Setup!B3)), 0)</f>
        <v>22</v>
      </c>
    </row>
    <row r="19" spans="1:12" x14ac:dyDescent="0.25">
      <c r="A19" s="7"/>
      <c r="B19" s="7"/>
      <c r="H19" s="7"/>
      <c r="I19" s="4" t="s">
        <v>499</v>
      </c>
      <c r="J19" s="4" t="str">
        <f>IF(VLOOKUP(I19, OrderAdditives!A:B, 2, FALSE)=0, "", VLOOKUP(I19, OrderAdditives!A:B, 2, FALSE))</f>
        <v>MCT Oil</v>
      </c>
      <c r="K19" s="9" t="b">
        <v>1</v>
      </c>
      <c r="L19" s="7">
        <v>0.2</v>
      </c>
    </row>
    <row r="20" spans="1:12" x14ac:dyDescent="0.25">
      <c r="A20" s="7" t="s">
        <v>644</v>
      </c>
      <c r="B20" s="7" t="s">
        <v>648</v>
      </c>
      <c r="C20" t="s">
        <v>26</v>
      </c>
      <c r="D20" t="str">
        <f>IF(VLOOKUP(C20, 'Order Base'!A:B, 2, FALSE)=0, "", VLOOKUP(C20, 'Order Base'!A:B, 2, FALSE))</f>
        <v>Enfamil Infant</v>
      </c>
      <c r="E20">
        <f>VLOOKUP(C20, 'Order Base'!A:C, 3, FALSE)</f>
        <v>20</v>
      </c>
      <c r="F20" s="4">
        <v>10</v>
      </c>
      <c r="H20" s="7" t="s">
        <v>646</v>
      </c>
      <c r="K20" s="7"/>
      <c r="L20" s="7"/>
    </row>
    <row r="21" spans="1:12" x14ac:dyDescent="0.25">
      <c r="A21" s="7" t="s">
        <v>647</v>
      </c>
      <c r="B21" s="7" t="s">
        <v>648</v>
      </c>
      <c r="C21" t="s">
        <v>26</v>
      </c>
      <c r="D21" t="str">
        <f>IF(VLOOKUP(C21, 'Order Base'!A:B, 2, FALSE)=0, "", VLOOKUP(C21, 'Order Base'!A:B, 2, FALSE))</f>
        <v>Enfamil Infant</v>
      </c>
      <c r="E21">
        <f>VLOOKUP(C21, 'Order Base'!A:C, 3, FALSE)</f>
        <v>20</v>
      </c>
      <c r="F21" s="4">
        <v>10</v>
      </c>
      <c r="H21" s="7" t="s">
        <v>649</v>
      </c>
      <c r="K21" s="7"/>
      <c r="L21" s="7"/>
    </row>
    <row r="22" spans="1:12" x14ac:dyDescent="0.25">
      <c r="A22" s="7"/>
      <c r="B22" s="7"/>
      <c r="H22" s="7"/>
      <c r="I22" s="4" t="s">
        <v>367</v>
      </c>
      <c r="J22" s="4" t="str">
        <f>IF(VLOOKUP(I22, OrderAdditives!A:B, 2, FALSE)=0, "", VLOOKUP(I22, OrderAdditives!A:B, 2, FALSE))</f>
        <v>Enfamil Infant</v>
      </c>
      <c r="K22" s="9" t="b">
        <v>0</v>
      </c>
      <c r="L22" s="7">
        <f>IFERROR(ROUND(IF(Setup!B2=Setup!F1, 22*Setup!F2, IF(Setup!B2=Setup!E1, 22*Setup!E2, IF(Setup!B2=Setup!D1, 22*Setup!D2, 0))), IF(Setup!B2=Setup!D1, 0, Setup!B3)), 0)</f>
        <v>22</v>
      </c>
    </row>
    <row r="23" spans="1:12" x14ac:dyDescent="0.25">
      <c r="A23" s="7"/>
      <c r="B23" s="7"/>
      <c r="H23" s="7"/>
      <c r="I23" s="4" t="s">
        <v>499</v>
      </c>
      <c r="J23" s="4" t="str">
        <f>IF(VLOOKUP(I23, OrderAdditives!A:B, 2, FALSE)=0, "", VLOOKUP(I23, OrderAdditives!A:B, 2, FALSE))</f>
        <v>MCT Oil</v>
      </c>
      <c r="K23" s="9" t="b">
        <v>0</v>
      </c>
      <c r="L23" s="7">
        <f>IFERROR(ROUND(IF(Setup!B2=Setup!F1, 24*Setup!F2, IF(Setup!B2=Setup!E1, 24*Setup!E2, IF(Setup!B2=Setup!D1, 24*Setup!D2, 0))), IF(Setup!B2=Setup!D1, 0, Setup!B3)), 0)</f>
        <v>24</v>
      </c>
    </row>
    <row r="24" spans="1:12" x14ac:dyDescent="0.25">
      <c r="A24" s="7" t="s">
        <v>652</v>
      </c>
      <c r="B24" s="7" t="s">
        <v>648</v>
      </c>
      <c r="C24" t="s">
        <v>26</v>
      </c>
      <c r="D24" t="str">
        <f>IF(VLOOKUP(C24, 'Order Base'!A:B, 2, FALSE)=0, "", VLOOKUP(C24, 'Order Base'!A:B, 2, FALSE))</f>
        <v>Enfamil Infant</v>
      </c>
      <c r="E24">
        <f>VLOOKUP(C24, 'Order Base'!A:C, 3, FALSE)</f>
        <v>20</v>
      </c>
      <c r="F24" s="4">
        <v>10</v>
      </c>
      <c r="H24" s="7" t="s">
        <v>653</v>
      </c>
      <c r="K24" s="7"/>
      <c r="L24" s="7"/>
    </row>
    <row r="25" spans="1:12" x14ac:dyDescent="0.25">
      <c r="A25" s="7"/>
      <c r="B25" s="7"/>
      <c r="H25" s="7"/>
      <c r="I25" s="4" t="s">
        <v>367</v>
      </c>
      <c r="J25" s="4" t="str">
        <f>IF(VLOOKUP(I25, OrderAdditives!A:B, 2, FALSE)=0, "", VLOOKUP(I25, OrderAdditives!A:B, 2, FALSE))</f>
        <v>Enfamil Infant</v>
      </c>
      <c r="K25" s="9" t="b">
        <v>0</v>
      </c>
      <c r="L25" s="7">
        <f>IFERROR(ROUND(IF(Setup!B2=Setup!F1, 22*Setup!F2, IF(Setup!B2=Setup!E1, 22*Setup!E2, IF(Setup!B2=Setup!D1, 22*Setup!D2, 0))), IF(Setup!B2=Setup!D1, 0, Setup!B3)), 0)</f>
        <v>22</v>
      </c>
    </row>
    <row r="26" spans="1:12" x14ac:dyDescent="0.25">
      <c r="A26" s="7"/>
      <c r="B26" s="7"/>
      <c r="H26" s="7"/>
      <c r="I26" s="4" t="s">
        <v>499</v>
      </c>
      <c r="J26" s="4" t="str">
        <f>IF(VLOOKUP(I26, OrderAdditives!A:B, 2, FALSE)=0, "", VLOOKUP(I26, OrderAdditives!A:B, 2, FALSE))</f>
        <v>MCT Oil</v>
      </c>
      <c r="K26" s="9" t="b">
        <v>1</v>
      </c>
      <c r="L26" s="7">
        <v>0.2</v>
      </c>
    </row>
    <row r="27" spans="1:12" x14ac:dyDescent="0.25">
      <c r="A27" s="7" t="s">
        <v>654</v>
      </c>
      <c r="B27" s="7" t="s">
        <v>656</v>
      </c>
      <c r="C27" t="s">
        <v>76</v>
      </c>
      <c r="D27" t="str">
        <f>IF(VLOOKUP(C27, 'Order Base'!A:B, 2, FALSE)=0, "", VLOOKUP(C27, 'Order Base'!A:B, 2, FALSE))</f>
        <v>Sim Sterile Water</v>
      </c>
      <c r="E27">
        <f>VLOOKUP(C27, 'Order Base'!A:C, 3, FALSE)</f>
        <v>0</v>
      </c>
      <c r="F27" s="4">
        <v>10</v>
      </c>
      <c r="H27" s="7" t="s">
        <v>657</v>
      </c>
      <c r="I27" s="4"/>
      <c r="J27" s="4"/>
      <c r="K27" s="7"/>
      <c r="L27" s="7"/>
    </row>
    <row r="28" spans="1:12" x14ac:dyDescent="0.25">
      <c r="A28" s="7"/>
      <c r="B28" s="7"/>
      <c r="H28" s="7"/>
      <c r="I28" s="4" t="s">
        <v>367</v>
      </c>
      <c r="J28" s="4" t="str">
        <f>IF(VLOOKUP(I28, OrderAdditives!A:B, 2, FALSE)=0, "", VLOOKUP(I28, OrderAdditives!A:B, 2, FALSE))</f>
        <v>Enfamil Infant</v>
      </c>
      <c r="K28" s="9" t="b">
        <v>0</v>
      </c>
      <c r="L28" s="7">
        <f>IFERROR(ROUND(IF(Setup!B2=Setup!F1, 20*Setup!F2, IF(Setup!B2=Setup!E1, 20*Setup!E2, IF(Setup!B2=Setup!D1, 20*Setup!D2, 0))), IF(Setup!B2=Setup!D1, 0, Setup!B3)), 0)</f>
        <v>20</v>
      </c>
    </row>
    <row r="29" spans="1:12" x14ac:dyDescent="0.25">
      <c r="A29" s="7"/>
      <c r="B29" s="7"/>
      <c r="H29" s="7"/>
      <c r="I29" s="4" t="s">
        <v>499</v>
      </c>
      <c r="J29" s="4" t="str">
        <f>IF(VLOOKUP(I29, OrderAdditives!A:B, 2, FALSE)=0, "", VLOOKUP(I29, OrderAdditives!A:B, 2, FALSE))</f>
        <v>MCT Oil</v>
      </c>
      <c r="K29" s="9" t="b">
        <v>0</v>
      </c>
      <c r="L29" s="7">
        <f>IFERROR(ROUND(IF(Setup!B2=Setup!F1, 22*Setup!F2, IF(Setup!B2=Setup!E1, 22*Setup!E2, IF(Setup!B2=Setup!D1, 22*Setup!D2, 0))), IF(Setup!B2=Setup!D1, 0, Setup!B3)), 0)</f>
        <v>22</v>
      </c>
    </row>
    <row r="30" spans="1:12" x14ac:dyDescent="0.25">
      <c r="A30" s="7" t="s">
        <v>655</v>
      </c>
      <c r="B30" s="7" t="s">
        <v>656</v>
      </c>
      <c r="C30" t="s">
        <v>76</v>
      </c>
      <c r="D30" t="str">
        <f>IF(VLOOKUP(C30, 'Order Base'!A:B, 2, FALSE)=0, "", VLOOKUP(C30, 'Order Base'!A:B, 2, FALSE))</f>
        <v>Sim Sterile Water</v>
      </c>
      <c r="E30">
        <f>VLOOKUP(C30, 'Order Base'!A:C, 3, FALSE)</f>
        <v>0</v>
      </c>
      <c r="F30" s="4">
        <v>10</v>
      </c>
      <c r="H30" s="7" t="s">
        <v>658</v>
      </c>
      <c r="K30" s="7"/>
      <c r="L30" s="7"/>
    </row>
    <row r="31" spans="1:12" x14ac:dyDescent="0.25">
      <c r="A31" s="7"/>
      <c r="B31" s="7"/>
      <c r="H31" s="7"/>
      <c r="I31" s="4" t="s">
        <v>367</v>
      </c>
      <c r="J31" s="4" t="str">
        <f>IF(VLOOKUP(I31, OrderAdditives!A:B, 2, FALSE)=0, "", VLOOKUP(I31, OrderAdditives!A:B, 2, FALSE))</f>
        <v>Enfamil Infant</v>
      </c>
      <c r="K31" s="9" t="b">
        <v>0</v>
      </c>
      <c r="L31" s="7">
        <f>IFERROR(ROUND(IF(Setup!B2=Setup!F1, 20*Setup!F2, IF(Setup!B2=Setup!E1, 20*Setup!E2, IF(Setup!B2=Setup!D1, 20*Setup!D2, 0))), IF(Setup!B2=Setup!D1, 0, Setup!B3)), 0)</f>
        <v>20</v>
      </c>
    </row>
    <row r="32" spans="1:12" x14ac:dyDescent="0.25">
      <c r="A32" s="7"/>
      <c r="B32" s="7"/>
      <c r="H32" s="7"/>
      <c r="I32" s="4" t="s">
        <v>499</v>
      </c>
      <c r="J32" s="4" t="str">
        <f>IF(VLOOKUP(I32, OrderAdditives!A:B, 2, FALSE)=0, "", VLOOKUP(I32, OrderAdditives!A:B, 2, FALSE))</f>
        <v>MCT Oil</v>
      </c>
      <c r="K32" s="9" t="b">
        <v>1</v>
      </c>
      <c r="L32" s="7">
        <v>0.2</v>
      </c>
    </row>
  </sheetData>
  <conditionalFormatting sqref="K1 K3:K4 K6:K7 K9:K10 K12:K13 K15:K16 K18:K19 K22:K23 K25:K26 K28:K29 K31:K32">
    <cfRule type="cellIs" dxfId="1" priority="3" operator="equal">
      <formula>FALSE</formula>
    </cfRule>
    <cfRule type="cellIs" dxfId="0" priority="4" operator="equal">
      <formula>TRUE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BA0783-1AE4-4F97-B8F1-9CF9A9FBA8A5}">
          <x14:formula1>
            <xm:f>OrderAdditives!$A:$A</xm:f>
          </x14:formula1>
          <xm:sqref>I3:I4 I31:I32 I22:I23 I25:I29 I6:I7 I9:I10 I12:I13 I15:I16 I18:I19</xm:sqref>
        </x14:dataValidation>
        <x14:dataValidation type="list" allowBlank="1" showInputMessage="1" showErrorMessage="1" xr:uid="{B08B8B12-B941-428A-9E58-B98C2DCC018E}">
          <x14:formula1>
            <xm:f>'Order Base'!$A:$A</xm:f>
          </x14:formula1>
          <xm:sqref>C20:C21 C24 C30 C27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E6D1-F857-4088-B5D9-C214F61BEB91}">
  <dimension ref="A1:C216"/>
  <sheetViews>
    <sheetView workbookViewId="0">
      <selection activeCell="A28" sqref="A28"/>
    </sheetView>
  </sheetViews>
  <sheetFormatPr defaultRowHeight="15" x14ac:dyDescent="0.25"/>
  <cols>
    <col min="1" max="1" width="58.42578125" bestFit="1" customWidth="1"/>
    <col min="2" max="2" width="28.42578125" bestFit="1" customWidth="1"/>
    <col min="3" max="3" width="16.28515625" bestFit="1" customWidth="1"/>
  </cols>
  <sheetData>
    <row r="1" spans="1:3" x14ac:dyDescent="0.25">
      <c r="A1" s="5" t="s">
        <v>24</v>
      </c>
      <c r="B1" s="5" t="s">
        <v>25</v>
      </c>
      <c r="C1" s="5" t="s">
        <v>650</v>
      </c>
    </row>
    <row r="2" spans="1:3" x14ac:dyDescent="0.25">
      <c r="A2" t="s">
        <v>26</v>
      </c>
      <c r="B2" t="s">
        <v>27</v>
      </c>
      <c r="C2">
        <v>20</v>
      </c>
    </row>
    <row r="3" spans="1:3" x14ac:dyDescent="0.25">
      <c r="A3" t="s">
        <v>28</v>
      </c>
      <c r="B3" t="s">
        <v>29</v>
      </c>
      <c r="C3">
        <v>20</v>
      </c>
    </row>
    <row r="4" spans="1:3" x14ac:dyDescent="0.25">
      <c r="A4" t="s">
        <v>30</v>
      </c>
      <c r="B4" t="s">
        <v>31</v>
      </c>
      <c r="C4">
        <v>22</v>
      </c>
    </row>
    <row r="5" spans="1:3" x14ac:dyDescent="0.25">
      <c r="A5" t="s">
        <v>32</v>
      </c>
      <c r="C5">
        <v>22</v>
      </c>
    </row>
    <row r="6" spans="1:3" x14ac:dyDescent="0.25">
      <c r="A6" t="s">
        <v>33</v>
      </c>
      <c r="C6">
        <v>20</v>
      </c>
    </row>
    <row r="7" spans="1:3" x14ac:dyDescent="0.25">
      <c r="A7" t="s">
        <v>34</v>
      </c>
      <c r="B7" t="s">
        <v>35</v>
      </c>
      <c r="C7">
        <v>20</v>
      </c>
    </row>
    <row r="8" spans="1:3" x14ac:dyDescent="0.25">
      <c r="A8" t="s">
        <v>36</v>
      </c>
      <c r="C8">
        <v>20</v>
      </c>
    </row>
    <row r="9" spans="1:3" x14ac:dyDescent="0.25">
      <c r="A9" t="s">
        <v>37</v>
      </c>
      <c r="C9">
        <v>24</v>
      </c>
    </row>
    <row r="10" spans="1:3" x14ac:dyDescent="0.25">
      <c r="A10" t="s">
        <v>38</v>
      </c>
      <c r="C10">
        <v>20</v>
      </c>
    </row>
    <row r="11" spans="1:3" x14ac:dyDescent="0.25">
      <c r="A11" t="s">
        <v>39</v>
      </c>
      <c r="C11">
        <v>20</v>
      </c>
    </row>
    <row r="12" spans="1:3" x14ac:dyDescent="0.25">
      <c r="A12" t="s">
        <v>40</v>
      </c>
      <c r="C12">
        <v>20</v>
      </c>
    </row>
    <row r="13" spans="1:3" x14ac:dyDescent="0.25">
      <c r="A13" t="s">
        <v>41</v>
      </c>
      <c r="C13">
        <v>20</v>
      </c>
    </row>
    <row r="14" spans="1:3" x14ac:dyDescent="0.25">
      <c r="A14" t="s">
        <v>42</v>
      </c>
      <c r="C14">
        <v>0</v>
      </c>
    </row>
    <row r="15" spans="1:3" x14ac:dyDescent="0.25">
      <c r="A15" t="s">
        <v>43</v>
      </c>
      <c r="C15">
        <v>5.91</v>
      </c>
    </row>
    <row r="16" spans="1:3" x14ac:dyDescent="0.25">
      <c r="A16" t="s">
        <v>44</v>
      </c>
      <c r="C16">
        <v>3.7</v>
      </c>
    </row>
    <row r="17" spans="1:3" x14ac:dyDescent="0.25">
      <c r="A17" t="s">
        <v>45</v>
      </c>
      <c r="C17">
        <v>20</v>
      </c>
    </row>
    <row r="18" spans="1:3" x14ac:dyDescent="0.25">
      <c r="A18" t="s">
        <v>46</v>
      </c>
      <c r="C18">
        <v>24</v>
      </c>
    </row>
    <row r="19" spans="1:3" x14ac:dyDescent="0.25">
      <c r="A19" t="s">
        <v>47</v>
      </c>
      <c r="C19">
        <v>30</v>
      </c>
    </row>
    <row r="20" spans="1:3" x14ac:dyDescent="0.25">
      <c r="A20" t="s">
        <v>48</v>
      </c>
      <c r="C20">
        <v>24</v>
      </c>
    </row>
    <row r="21" spans="1:3" x14ac:dyDescent="0.25">
      <c r="A21" t="s">
        <v>49</v>
      </c>
      <c r="C21">
        <v>24</v>
      </c>
    </row>
    <row r="22" spans="1:3" x14ac:dyDescent="0.25">
      <c r="A22" t="s">
        <v>50</v>
      </c>
      <c r="C22">
        <v>30</v>
      </c>
    </row>
    <row r="23" spans="1:3" x14ac:dyDescent="0.25">
      <c r="A23" t="s">
        <v>51</v>
      </c>
      <c r="B23" t="s">
        <v>52</v>
      </c>
      <c r="C23">
        <v>24</v>
      </c>
    </row>
    <row r="24" spans="1:3" x14ac:dyDescent="0.25">
      <c r="A24" t="s">
        <v>53</v>
      </c>
      <c r="C24">
        <v>20</v>
      </c>
    </row>
    <row r="25" spans="1:3" x14ac:dyDescent="0.25">
      <c r="A25" t="s">
        <v>54</v>
      </c>
      <c r="B25" t="s">
        <v>55</v>
      </c>
      <c r="C25">
        <v>20</v>
      </c>
    </row>
    <row r="26" spans="1:3" x14ac:dyDescent="0.25">
      <c r="A26" t="s">
        <v>56</v>
      </c>
      <c r="B26" t="s">
        <v>57</v>
      </c>
      <c r="C26">
        <v>20</v>
      </c>
    </row>
    <row r="27" spans="1:3" x14ac:dyDescent="0.25">
      <c r="A27" t="s">
        <v>58</v>
      </c>
      <c r="B27" t="s">
        <v>57</v>
      </c>
      <c r="C27">
        <v>20</v>
      </c>
    </row>
    <row r="28" spans="1:3" x14ac:dyDescent="0.25">
      <c r="A28" t="s">
        <v>59</v>
      </c>
      <c r="B28" t="s">
        <v>60</v>
      </c>
      <c r="C28">
        <v>20</v>
      </c>
    </row>
    <row r="29" spans="1:3" x14ac:dyDescent="0.25">
      <c r="A29" t="s">
        <v>61</v>
      </c>
      <c r="B29" t="s">
        <v>62</v>
      </c>
      <c r="C29">
        <v>24</v>
      </c>
    </row>
    <row r="30" spans="1:3" x14ac:dyDescent="0.25">
      <c r="A30" t="s">
        <v>63</v>
      </c>
      <c r="B30" t="s">
        <v>64</v>
      </c>
      <c r="C30">
        <v>24</v>
      </c>
    </row>
    <row r="31" spans="1:3" x14ac:dyDescent="0.25">
      <c r="A31" t="s">
        <v>65</v>
      </c>
      <c r="B31" t="s">
        <v>66</v>
      </c>
      <c r="C31">
        <v>32.53</v>
      </c>
    </row>
    <row r="32" spans="1:3" x14ac:dyDescent="0.25">
      <c r="A32" t="s">
        <v>67</v>
      </c>
      <c r="B32" t="s">
        <v>68</v>
      </c>
      <c r="C32">
        <v>22</v>
      </c>
    </row>
    <row r="33" spans="1:3" x14ac:dyDescent="0.25">
      <c r="A33" t="s">
        <v>69</v>
      </c>
      <c r="B33" t="s">
        <v>69</v>
      </c>
      <c r="C33">
        <v>30</v>
      </c>
    </row>
    <row r="34" spans="1:3" x14ac:dyDescent="0.25">
      <c r="A34" t="s">
        <v>70</v>
      </c>
      <c r="B34" t="s">
        <v>71</v>
      </c>
      <c r="C34">
        <v>20</v>
      </c>
    </row>
    <row r="35" spans="1:3" x14ac:dyDescent="0.25">
      <c r="A35" t="s">
        <v>72</v>
      </c>
      <c r="B35" t="s">
        <v>73</v>
      </c>
      <c r="C35">
        <v>20</v>
      </c>
    </row>
    <row r="36" spans="1:3" x14ac:dyDescent="0.25">
      <c r="A36" t="s">
        <v>74</v>
      </c>
      <c r="B36" t="s">
        <v>75</v>
      </c>
      <c r="C36">
        <v>20</v>
      </c>
    </row>
    <row r="37" spans="1:3" x14ac:dyDescent="0.25">
      <c r="A37" t="s">
        <v>76</v>
      </c>
      <c r="B37" t="s">
        <v>77</v>
      </c>
      <c r="C37">
        <v>0</v>
      </c>
    </row>
    <row r="38" spans="1:3" x14ac:dyDescent="0.25">
      <c r="A38" t="s">
        <v>78</v>
      </c>
      <c r="B38" t="s">
        <v>79</v>
      </c>
      <c r="C38">
        <v>11.83</v>
      </c>
    </row>
    <row r="39" spans="1:3" x14ac:dyDescent="0.25">
      <c r="A39" t="s">
        <v>80</v>
      </c>
      <c r="B39" t="s">
        <v>81</v>
      </c>
      <c r="C39">
        <v>5.91</v>
      </c>
    </row>
    <row r="40" spans="1:3" x14ac:dyDescent="0.25">
      <c r="A40" t="s">
        <v>82</v>
      </c>
      <c r="B40" t="s">
        <v>83</v>
      </c>
      <c r="C40">
        <v>53</v>
      </c>
    </row>
    <row r="41" spans="1:3" x14ac:dyDescent="0.25">
      <c r="A41" t="s">
        <v>84</v>
      </c>
      <c r="C41">
        <v>3</v>
      </c>
    </row>
    <row r="42" spans="1:3" x14ac:dyDescent="0.25">
      <c r="A42" t="s">
        <v>85</v>
      </c>
      <c r="C42">
        <v>44</v>
      </c>
    </row>
    <row r="43" spans="1:3" x14ac:dyDescent="0.25">
      <c r="A43" t="s">
        <v>86</v>
      </c>
      <c r="C43">
        <v>28</v>
      </c>
    </row>
    <row r="44" spans="1:3" x14ac:dyDescent="0.25">
      <c r="A44" t="s">
        <v>87</v>
      </c>
      <c r="C44">
        <v>30</v>
      </c>
    </row>
    <row r="45" spans="1:3" x14ac:dyDescent="0.25">
      <c r="A45" t="s">
        <v>88</v>
      </c>
      <c r="C45">
        <v>45</v>
      </c>
    </row>
    <row r="46" spans="1:3" x14ac:dyDescent="0.25">
      <c r="A46" t="s">
        <v>89</v>
      </c>
      <c r="C46">
        <v>30</v>
      </c>
    </row>
    <row r="47" spans="1:3" x14ac:dyDescent="0.25">
      <c r="A47" t="s">
        <v>90</v>
      </c>
      <c r="C47">
        <v>44.36</v>
      </c>
    </row>
    <row r="48" spans="1:3" x14ac:dyDescent="0.25">
      <c r="A48" t="s">
        <v>91</v>
      </c>
      <c r="C48">
        <v>18</v>
      </c>
    </row>
    <row r="49" spans="1:3" x14ac:dyDescent="0.25">
      <c r="A49" t="s">
        <v>92</v>
      </c>
      <c r="C49">
        <v>30</v>
      </c>
    </row>
    <row r="50" spans="1:3" x14ac:dyDescent="0.25">
      <c r="A50" t="s">
        <v>93</v>
      </c>
      <c r="C50">
        <v>36</v>
      </c>
    </row>
    <row r="51" spans="1:3" x14ac:dyDescent="0.25">
      <c r="A51" t="s">
        <v>94</v>
      </c>
      <c r="C51">
        <v>44.36</v>
      </c>
    </row>
    <row r="52" spans="1:3" x14ac:dyDescent="0.25">
      <c r="A52" t="s">
        <v>95</v>
      </c>
      <c r="C52">
        <v>30</v>
      </c>
    </row>
    <row r="53" spans="1:3" x14ac:dyDescent="0.25">
      <c r="A53" t="s">
        <v>96</v>
      </c>
      <c r="C53">
        <v>44.36</v>
      </c>
    </row>
    <row r="54" spans="1:3" x14ac:dyDescent="0.25">
      <c r="A54" t="s">
        <v>97</v>
      </c>
      <c r="C54">
        <v>53.23</v>
      </c>
    </row>
    <row r="55" spans="1:3" x14ac:dyDescent="0.25">
      <c r="A55" t="s">
        <v>98</v>
      </c>
      <c r="C55">
        <v>59.15</v>
      </c>
    </row>
    <row r="56" spans="1:3" x14ac:dyDescent="0.25">
      <c r="A56" t="s">
        <v>99</v>
      </c>
      <c r="B56" t="s">
        <v>100</v>
      </c>
      <c r="C56">
        <v>31.35</v>
      </c>
    </row>
    <row r="57" spans="1:3" x14ac:dyDescent="0.25">
      <c r="A57" t="s">
        <v>101</v>
      </c>
      <c r="B57" t="s">
        <v>102</v>
      </c>
      <c r="C57">
        <v>44.36</v>
      </c>
    </row>
    <row r="58" spans="1:3" x14ac:dyDescent="0.25">
      <c r="A58" t="s">
        <v>103</v>
      </c>
      <c r="B58" t="s">
        <v>104</v>
      </c>
      <c r="C58">
        <v>29.57</v>
      </c>
    </row>
    <row r="59" spans="1:3" x14ac:dyDescent="0.25">
      <c r="A59" t="s">
        <v>105</v>
      </c>
      <c r="B59" t="s">
        <v>106</v>
      </c>
      <c r="C59">
        <v>17.739999999999998</v>
      </c>
    </row>
    <row r="60" spans="1:3" x14ac:dyDescent="0.25">
      <c r="A60" t="s">
        <v>107</v>
      </c>
      <c r="B60" t="s">
        <v>108</v>
      </c>
      <c r="C60">
        <v>27.5</v>
      </c>
    </row>
    <row r="61" spans="1:3" x14ac:dyDescent="0.25">
      <c r="A61" t="s">
        <v>109</v>
      </c>
      <c r="B61" t="s">
        <v>110</v>
      </c>
      <c r="C61">
        <v>29.57</v>
      </c>
    </row>
    <row r="62" spans="1:3" x14ac:dyDescent="0.25">
      <c r="A62" t="s">
        <v>111</v>
      </c>
      <c r="B62" t="s">
        <v>112</v>
      </c>
      <c r="C62">
        <v>29.57</v>
      </c>
    </row>
    <row r="63" spans="1:3" x14ac:dyDescent="0.25">
      <c r="A63" t="s">
        <v>113</v>
      </c>
      <c r="B63" t="s">
        <v>114</v>
      </c>
      <c r="C63">
        <v>44.36</v>
      </c>
    </row>
    <row r="64" spans="1:3" x14ac:dyDescent="0.25">
      <c r="A64" t="s">
        <v>115</v>
      </c>
      <c r="B64" t="s">
        <v>116</v>
      </c>
      <c r="C64">
        <v>29.57</v>
      </c>
    </row>
    <row r="65" spans="1:3" x14ac:dyDescent="0.25">
      <c r="A65" t="s">
        <v>117</v>
      </c>
      <c r="B65" t="s">
        <v>118</v>
      </c>
      <c r="C65">
        <v>29.57</v>
      </c>
    </row>
    <row r="66" spans="1:3" x14ac:dyDescent="0.25">
      <c r="A66" t="s">
        <v>119</v>
      </c>
      <c r="C66">
        <v>59.15</v>
      </c>
    </row>
    <row r="67" spans="1:3" x14ac:dyDescent="0.25">
      <c r="A67" t="s">
        <v>120</v>
      </c>
      <c r="B67" t="s">
        <v>121</v>
      </c>
      <c r="C67">
        <v>44.36</v>
      </c>
    </row>
    <row r="68" spans="1:3" x14ac:dyDescent="0.25">
      <c r="A68" t="s">
        <v>122</v>
      </c>
      <c r="B68" t="s">
        <v>123</v>
      </c>
      <c r="C68">
        <v>29.57</v>
      </c>
    </row>
    <row r="69" spans="1:3" x14ac:dyDescent="0.25">
      <c r="A69" t="s">
        <v>124</v>
      </c>
      <c r="B69" t="s">
        <v>125</v>
      </c>
      <c r="C69">
        <v>30</v>
      </c>
    </row>
    <row r="70" spans="1:3" x14ac:dyDescent="0.25">
      <c r="A70" t="s">
        <v>126</v>
      </c>
      <c r="B70" t="s">
        <v>127</v>
      </c>
      <c r="C70">
        <v>29.93</v>
      </c>
    </row>
    <row r="71" spans="1:3" x14ac:dyDescent="0.25">
      <c r="A71" t="s">
        <v>128</v>
      </c>
      <c r="C71">
        <v>44.36</v>
      </c>
    </row>
    <row r="72" spans="1:3" x14ac:dyDescent="0.25">
      <c r="A72" t="s">
        <v>129</v>
      </c>
      <c r="C72">
        <v>44.36</v>
      </c>
    </row>
    <row r="73" spans="1:3" x14ac:dyDescent="0.25">
      <c r="A73" t="s">
        <v>130</v>
      </c>
      <c r="B73" t="s">
        <v>131</v>
      </c>
      <c r="C73">
        <v>31.05</v>
      </c>
    </row>
    <row r="74" spans="1:3" x14ac:dyDescent="0.25">
      <c r="A74" t="s">
        <v>132</v>
      </c>
      <c r="B74" t="s">
        <v>133</v>
      </c>
      <c r="C74">
        <v>29.57</v>
      </c>
    </row>
    <row r="75" spans="1:3" x14ac:dyDescent="0.25">
      <c r="A75" t="s">
        <v>134</v>
      </c>
      <c r="B75" t="s">
        <v>135</v>
      </c>
      <c r="C75">
        <v>23.66</v>
      </c>
    </row>
    <row r="76" spans="1:3" x14ac:dyDescent="0.25">
      <c r="A76" t="s">
        <v>136</v>
      </c>
      <c r="B76" t="s">
        <v>137</v>
      </c>
      <c r="C76">
        <v>44.36</v>
      </c>
    </row>
    <row r="77" spans="1:3" x14ac:dyDescent="0.25">
      <c r="A77" t="s">
        <v>138</v>
      </c>
      <c r="B77" t="s">
        <v>139</v>
      </c>
      <c r="C77">
        <v>47.32</v>
      </c>
    </row>
    <row r="78" spans="1:3" x14ac:dyDescent="0.25">
      <c r="A78" t="s">
        <v>140</v>
      </c>
      <c r="B78" t="s">
        <v>141</v>
      </c>
      <c r="C78">
        <v>66.25</v>
      </c>
    </row>
    <row r="79" spans="1:3" x14ac:dyDescent="0.25">
      <c r="A79" t="s">
        <v>142</v>
      </c>
      <c r="B79" t="s">
        <v>143</v>
      </c>
      <c r="C79">
        <v>221.81</v>
      </c>
    </row>
    <row r="80" spans="1:3" x14ac:dyDescent="0.25">
      <c r="A80" t="s">
        <v>144</v>
      </c>
      <c r="B80" t="s">
        <v>145</v>
      </c>
      <c r="C80">
        <v>29.87</v>
      </c>
    </row>
    <row r="81" spans="1:3" x14ac:dyDescent="0.25">
      <c r="A81" t="s">
        <v>146</v>
      </c>
      <c r="B81" t="s">
        <v>147</v>
      </c>
      <c r="C81">
        <v>20</v>
      </c>
    </row>
    <row r="82" spans="1:3" x14ac:dyDescent="0.25">
      <c r="A82" t="s">
        <v>148</v>
      </c>
      <c r="B82" t="s">
        <v>149</v>
      </c>
      <c r="C82">
        <v>20</v>
      </c>
    </row>
    <row r="83" spans="1:3" x14ac:dyDescent="0.25">
      <c r="A83" t="s">
        <v>150</v>
      </c>
      <c r="B83" t="s">
        <v>151</v>
      </c>
      <c r="C83">
        <v>44.36</v>
      </c>
    </row>
    <row r="84" spans="1:3" x14ac:dyDescent="0.25">
      <c r="A84" t="s">
        <v>152</v>
      </c>
      <c r="B84" t="s">
        <v>153</v>
      </c>
      <c r="C84">
        <v>35.49</v>
      </c>
    </row>
    <row r="85" spans="1:3" x14ac:dyDescent="0.25">
      <c r="A85" t="s">
        <v>154</v>
      </c>
      <c r="B85" t="s">
        <v>88</v>
      </c>
      <c r="C85">
        <v>44.36</v>
      </c>
    </row>
    <row r="86" spans="1:3" x14ac:dyDescent="0.25">
      <c r="A86" t="s">
        <v>155</v>
      </c>
      <c r="B86" t="s">
        <v>156</v>
      </c>
      <c r="C86">
        <v>44.36</v>
      </c>
    </row>
    <row r="87" spans="1:3" x14ac:dyDescent="0.25">
      <c r="A87" t="s">
        <v>157</v>
      </c>
      <c r="B87" t="s">
        <v>158</v>
      </c>
      <c r="C87">
        <v>35.49</v>
      </c>
    </row>
    <row r="88" spans="1:3" x14ac:dyDescent="0.25">
      <c r="A88" t="s">
        <v>159</v>
      </c>
      <c r="B88" t="s">
        <v>160</v>
      </c>
      <c r="C88">
        <v>29.57</v>
      </c>
    </row>
    <row r="89" spans="1:3" x14ac:dyDescent="0.25">
      <c r="A89" t="s">
        <v>161</v>
      </c>
      <c r="B89" t="s">
        <v>162</v>
      </c>
      <c r="C89">
        <v>29.57</v>
      </c>
    </row>
    <row r="90" spans="1:3" x14ac:dyDescent="0.25">
      <c r="A90" t="s">
        <v>163</v>
      </c>
      <c r="B90" t="s">
        <v>164</v>
      </c>
      <c r="C90">
        <v>44.36</v>
      </c>
    </row>
    <row r="91" spans="1:3" x14ac:dyDescent="0.25">
      <c r="A91" t="s">
        <v>165</v>
      </c>
      <c r="B91" t="s">
        <v>166</v>
      </c>
      <c r="C91">
        <v>29.57</v>
      </c>
    </row>
    <row r="92" spans="1:3" x14ac:dyDescent="0.25">
      <c r="A92" t="s">
        <v>167</v>
      </c>
      <c r="B92" t="s">
        <v>168</v>
      </c>
      <c r="C92">
        <v>29.57</v>
      </c>
    </row>
    <row r="93" spans="1:3" x14ac:dyDescent="0.25">
      <c r="A93" t="s">
        <v>169</v>
      </c>
      <c r="B93" t="s">
        <v>169</v>
      </c>
      <c r="C93">
        <v>19</v>
      </c>
    </row>
    <row r="94" spans="1:3" x14ac:dyDescent="0.25">
      <c r="A94" t="s">
        <v>170</v>
      </c>
      <c r="B94" t="s">
        <v>171</v>
      </c>
      <c r="C94">
        <v>29.57</v>
      </c>
    </row>
    <row r="95" spans="1:3" x14ac:dyDescent="0.25">
      <c r="A95" t="s">
        <v>172</v>
      </c>
      <c r="B95" t="s">
        <v>173</v>
      </c>
      <c r="C95">
        <v>29.57</v>
      </c>
    </row>
    <row r="96" spans="1:3" x14ac:dyDescent="0.25">
      <c r="A96" t="s">
        <v>174</v>
      </c>
      <c r="B96" t="s">
        <v>174</v>
      </c>
      <c r="C96">
        <v>44.36</v>
      </c>
    </row>
    <row r="97" spans="1:3" x14ac:dyDescent="0.25">
      <c r="A97" t="s">
        <v>175</v>
      </c>
      <c r="B97" t="s">
        <v>176</v>
      </c>
      <c r="C97">
        <v>35.49</v>
      </c>
    </row>
    <row r="98" spans="1:3" x14ac:dyDescent="0.25">
      <c r="A98" t="s">
        <v>177</v>
      </c>
      <c r="C98">
        <v>45</v>
      </c>
    </row>
    <row r="99" spans="1:3" x14ac:dyDescent="0.25">
      <c r="A99" t="s">
        <v>178</v>
      </c>
      <c r="C99">
        <v>30</v>
      </c>
    </row>
    <row r="100" spans="1:3" x14ac:dyDescent="0.25">
      <c r="A100" t="s">
        <v>179</v>
      </c>
      <c r="C100">
        <v>45</v>
      </c>
    </row>
    <row r="101" spans="1:3" x14ac:dyDescent="0.25">
      <c r="A101" t="s">
        <v>180</v>
      </c>
      <c r="C101">
        <v>45</v>
      </c>
    </row>
    <row r="102" spans="1:3" x14ac:dyDescent="0.25">
      <c r="A102" t="s">
        <v>181</v>
      </c>
      <c r="B102" t="s">
        <v>182</v>
      </c>
      <c r="C102">
        <v>20</v>
      </c>
    </row>
    <row r="103" spans="1:3" x14ac:dyDescent="0.25">
      <c r="A103" t="s">
        <v>183</v>
      </c>
      <c r="B103" t="s">
        <v>183</v>
      </c>
      <c r="C103">
        <v>20</v>
      </c>
    </row>
    <row r="104" spans="1:3" x14ac:dyDescent="0.25">
      <c r="A104" t="s">
        <v>184</v>
      </c>
      <c r="B104" t="s">
        <v>184</v>
      </c>
      <c r="C104">
        <v>24</v>
      </c>
    </row>
    <row r="105" spans="1:3" x14ac:dyDescent="0.25">
      <c r="A105" t="s">
        <v>185</v>
      </c>
      <c r="B105" t="s">
        <v>185</v>
      </c>
      <c r="C105">
        <v>26</v>
      </c>
    </row>
    <row r="106" spans="1:3" x14ac:dyDescent="0.25">
      <c r="A106" t="s">
        <v>186</v>
      </c>
      <c r="B106" t="s">
        <v>187</v>
      </c>
      <c r="C106">
        <v>28</v>
      </c>
    </row>
    <row r="107" spans="1:3" x14ac:dyDescent="0.25">
      <c r="A107" t="s">
        <v>188</v>
      </c>
      <c r="B107" t="s">
        <v>189</v>
      </c>
      <c r="C107">
        <v>20</v>
      </c>
    </row>
    <row r="108" spans="1:3" x14ac:dyDescent="0.25">
      <c r="A108" t="s">
        <v>190</v>
      </c>
      <c r="B108" t="s">
        <v>191</v>
      </c>
      <c r="C108">
        <v>35</v>
      </c>
    </row>
    <row r="109" spans="1:3" x14ac:dyDescent="0.25">
      <c r="A109" t="s">
        <v>192</v>
      </c>
      <c r="B109" t="s">
        <v>193</v>
      </c>
      <c r="C109">
        <v>36</v>
      </c>
    </row>
    <row r="110" spans="1:3" x14ac:dyDescent="0.25">
      <c r="A110" t="s">
        <v>194</v>
      </c>
      <c r="B110" t="s">
        <v>195</v>
      </c>
      <c r="C110">
        <v>34</v>
      </c>
    </row>
    <row r="111" spans="1:3" x14ac:dyDescent="0.25">
      <c r="A111" t="s">
        <v>196</v>
      </c>
      <c r="B111" t="s">
        <v>197</v>
      </c>
      <c r="C111">
        <v>35</v>
      </c>
    </row>
    <row r="112" spans="1:3" x14ac:dyDescent="0.25">
      <c r="A112" t="s">
        <v>198</v>
      </c>
      <c r="B112" t="s">
        <v>199</v>
      </c>
      <c r="C112">
        <v>36</v>
      </c>
    </row>
    <row r="113" spans="1:3" x14ac:dyDescent="0.25">
      <c r="A113" t="s">
        <v>200</v>
      </c>
      <c r="B113" t="s">
        <v>201</v>
      </c>
      <c r="C113">
        <v>34</v>
      </c>
    </row>
    <row r="114" spans="1:3" x14ac:dyDescent="0.25">
      <c r="A114" t="s">
        <v>202</v>
      </c>
      <c r="B114" t="s">
        <v>203</v>
      </c>
      <c r="C114">
        <v>36</v>
      </c>
    </row>
    <row r="115" spans="1:3" x14ac:dyDescent="0.25">
      <c r="A115" t="s">
        <v>204</v>
      </c>
      <c r="B115" t="s">
        <v>205</v>
      </c>
      <c r="C115">
        <v>45</v>
      </c>
    </row>
    <row r="116" spans="1:3" x14ac:dyDescent="0.25">
      <c r="A116" t="s">
        <v>206</v>
      </c>
      <c r="B116" t="s">
        <v>207</v>
      </c>
      <c r="C116">
        <v>45</v>
      </c>
    </row>
    <row r="117" spans="1:3" x14ac:dyDescent="0.25">
      <c r="A117" t="s">
        <v>208</v>
      </c>
      <c r="B117" t="s">
        <v>208</v>
      </c>
      <c r="C117">
        <v>30</v>
      </c>
    </row>
    <row r="118" spans="1:3" x14ac:dyDescent="0.25">
      <c r="A118" t="s">
        <v>209</v>
      </c>
      <c r="B118" t="s">
        <v>210</v>
      </c>
      <c r="C118">
        <v>30</v>
      </c>
    </row>
    <row r="119" spans="1:3" x14ac:dyDescent="0.25">
      <c r="A119" t="s">
        <v>211</v>
      </c>
      <c r="C119">
        <v>40</v>
      </c>
    </row>
    <row r="120" spans="1:3" x14ac:dyDescent="0.25">
      <c r="A120" t="s">
        <v>212</v>
      </c>
      <c r="C120">
        <v>0</v>
      </c>
    </row>
    <row r="121" spans="1:3" x14ac:dyDescent="0.25">
      <c r="A121" t="s">
        <v>213</v>
      </c>
      <c r="C121">
        <v>30</v>
      </c>
    </row>
    <row r="122" spans="1:3" x14ac:dyDescent="0.25">
      <c r="A122" t="s">
        <v>214</v>
      </c>
      <c r="C122">
        <v>0</v>
      </c>
    </row>
    <row r="123" spans="1:3" x14ac:dyDescent="0.25">
      <c r="A123" t="s">
        <v>215</v>
      </c>
      <c r="B123" t="s">
        <v>216</v>
      </c>
      <c r="C123">
        <v>44.36</v>
      </c>
    </row>
    <row r="124" spans="1:3" x14ac:dyDescent="0.25">
      <c r="A124" t="s">
        <v>217</v>
      </c>
      <c r="C124">
        <v>35.49</v>
      </c>
    </row>
    <row r="125" spans="1:3" x14ac:dyDescent="0.25">
      <c r="A125" t="s">
        <v>218</v>
      </c>
      <c r="B125" t="s">
        <v>219</v>
      </c>
      <c r="C125">
        <v>35.49</v>
      </c>
    </row>
    <row r="126" spans="1:3" x14ac:dyDescent="0.25">
      <c r="A126" t="s">
        <v>220</v>
      </c>
      <c r="B126" t="s">
        <v>221</v>
      </c>
      <c r="C126">
        <v>44.36</v>
      </c>
    </row>
    <row r="127" spans="1:3" x14ac:dyDescent="0.25">
      <c r="A127" t="s">
        <v>222</v>
      </c>
      <c r="B127" t="s">
        <v>223</v>
      </c>
      <c r="C127">
        <v>29.87</v>
      </c>
    </row>
    <row r="128" spans="1:3" x14ac:dyDescent="0.25">
      <c r="A128" t="s">
        <v>224</v>
      </c>
      <c r="B128" t="s">
        <v>224</v>
      </c>
      <c r="C128">
        <v>30</v>
      </c>
    </row>
    <row r="129" spans="1:3" x14ac:dyDescent="0.25">
      <c r="A129" t="s">
        <v>225</v>
      </c>
      <c r="B129" t="s">
        <v>225</v>
      </c>
      <c r="C129">
        <v>30</v>
      </c>
    </row>
    <row r="130" spans="1:3" x14ac:dyDescent="0.25">
      <c r="A130" t="s">
        <v>226</v>
      </c>
      <c r="B130" t="s">
        <v>227</v>
      </c>
      <c r="C130">
        <v>44.36</v>
      </c>
    </row>
    <row r="131" spans="1:3" x14ac:dyDescent="0.25">
      <c r="A131" t="s">
        <v>228</v>
      </c>
      <c r="B131" t="s">
        <v>229</v>
      </c>
      <c r="C131">
        <v>55</v>
      </c>
    </row>
    <row r="132" spans="1:3" x14ac:dyDescent="0.25">
      <c r="A132" t="s">
        <v>230</v>
      </c>
      <c r="C132">
        <v>35.49</v>
      </c>
    </row>
    <row r="133" spans="1:3" x14ac:dyDescent="0.25">
      <c r="A133" t="s">
        <v>231</v>
      </c>
      <c r="B133" t="s">
        <v>232</v>
      </c>
      <c r="C133">
        <v>30</v>
      </c>
    </row>
    <row r="134" spans="1:3" x14ac:dyDescent="0.25">
      <c r="A134" t="s">
        <v>233</v>
      </c>
      <c r="B134" t="s">
        <v>233</v>
      </c>
      <c r="C134">
        <v>45</v>
      </c>
    </row>
    <row r="135" spans="1:3" x14ac:dyDescent="0.25">
      <c r="A135" t="s">
        <v>234</v>
      </c>
      <c r="C135">
        <v>30</v>
      </c>
    </row>
    <row r="136" spans="1:3" x14ac:dyDescent="0.25">
      <c r="A136" t="s">
        <v>235</v>
      </c>
      <c r="C136">
        <v>44.36</v>
      </c>
    </row>
    <row r="137" spans="1:3" x14ac:dyDescent="0.25">
      <c r="A137" t="s">
        <v>236</v>
      </c>
      <c r="C137">
        <v>30</v>
      </c>
    </row>
    <row r="138" spans="1:3" x14ac:dyDescent="0.25">
      <c r="A138" t="s">
        <v>237</v>
      </c>
      <c r="B138" t="s">
        <v>238</v>
      </c>
      <c r="C138">
        <v>30</v>
      </c>
    </row>
    <row r="139" spans="1:3" x14ac:dyDescent="0.25">
      <c r="A139" t="s">
        <v>239</v>
      </c>
      <c r="C139">
        <v>35.49</v>
      </c>
    </row>
    <row r="140" spans="1:3" x14ac:dyDescent="0.25">
      <c r="A140" t="s">
        <v>240</v>
      </c>
      <c r="C140">
        <v>44.36</v>
      </c>
    </row>
    <row r="141" spans="1:3" x14ac:dyDescent="0.25">
      <c r="A141" t="s">
        <v>241</v>
      </c>
      <c r="B141" t="s">
        <v>242</v>
      </c>
      <c r="C141">
        <v>59.15</v>
      </c>
    </row>
    <row r="142" spans="1:3" x14ac:dyDescent="0.25">
      <c r="A142" t="s">
        <v>243</v>
      </c>
      <c r="B142" t="s">
        <v>243</v>
      </c>
      <c r="C142">
        <v>33.42</v>
      </c>
    </row>
    <row r="143" spans="1:3" x14ac:dyDescent="0.25">
      <c r="A143" t="s">
        <v>244</v>
      </c>
      <c r="B143" t="s">
        <v>244</v>
      </c>
      <c r="C143">
        <v>43.18</v>
      </c>
    </row>
    <row r="144" spans="1:3" x14ac:dyDescent="0.25">
      <c r="A144" t="s">
        <v>245</v>
      </c>
      <c r="B144" t="s">
        <v>245</v>
      </c>
      <c r="C144">
        <v>38.450000000000003</v>
      </c>
    </row>
    <row r="145" spans="1:3" x14ac:dyDescent="0.25">
      <c r="A145" t="s">
        <v>246</v>
      </c>
      <c r="C145">
        <v>41.7</v>
      </c>
    </row>
    <row r="146" spans="1:3" x14ac:dyDescent="0.25">
      <c r="A146" t="s">
        <v>247</v>
      </c>
      <c r="B146" t="s">
        <v>248</v>
      </c>
      <c r="C146">
        <v>30</v>
      </c>
    </row>
    <row r="147" spans="1:3" x14ac:dyDescent="0.25">
      <c r="A147" t="s">
        <v>249</v>
      </c>
      <c r="B147" t="s">
        <v>249</v>
      </c>
      <c r="C147">
        <v>20</v>
      </c>
    </row>
    <row r="148" spans="1:3" x14ac:dyDescent="0.25">
      <c r="A148" t="s">
        <v>250</v>
      </c>
      <c r="B148" t="s">
        <v>251</v>
      </c>
      <c r="C148">
        <v>29.57</v>
      </c>
    </row>
    <row r="149" spans="1:3" x14ac:dyDescent="0.25">
      <c r="A149" t="s">
        <v>252</v>
      </c>
      <c r="B149" t="s">
        <v>253</v>
      </c>
      <c r="C149">
        <v>35.49</v>
      </c>
    </row>
    <row r="150" spans="1:3" x14ac:dyDescent="0.25">
      <c r="A150" t="s">
        <v>254</v>
      </c>
      <c r="B150" t="s">
        <v>255</v>
      </c>
      <c r="C150">
        <v>30</v>
      </c>
    </row>
    <row r="151" spans="1:3" x14ac:dyDescent="0.25">
      <c r="A151" t="s">
        <v>256</v>
      </c>
      <c r="B151" t="s">
        <v>257</v>
      </c>
      <c r="C151">
        <v>59.15</v>
      </c>
    </row>
    <row r="152" spans="1:3" x14ac:dyDescent="0.25">
      <c r="A152" t="s">
        <v>258</v>
      </c>
      <c r="B152" t="s">
        <v>258</v>
      </c>
      <c r="C152">
        <v>59.15</v>
      </c>
    </row>
    <row r="153" spans="1:3" x14ac:dyDescent="0.25">
      <c r="A153" t="s">
        <v>259</v>
      </c>
      <c r="B153" t="s">
        <v>260</v>
      </c>
      <c r="C153">
        <v>45</v>
      </c>
    </row>
    <row r="154" spans="1:3" x14ac:dyDescent="0.25">
      <c r="A154" t="s">
        <v>261</v>
      </c>
      <c r="B154" t="s">
        <v>261</v>
      </c>
      <c r="C154">
        <v>45</v>
      </c>
    </row>
    <row r="155" spans="1:3" x14ac:dyDescent="0.25">
      <c r="A155" t="s">
        <v>262</v>
      </c>
      <c r="B155" t="s">
        <v>262</v>
      </c>
      <c r="C155">
        <v>73.94</v>
      </c>
    </row>
    <row r="156" spans="1:3" x14ac:dyDescent="0.25">
      <c r="A156" t="s">
        <v>263</v>
      </c>
      <c r="B156" t="s">
        <v>264</v>
      </c>
      <c r="C156">
        <v>12.5</v>
      </c>
    </row>
    <row r="157" spans="1:3" x14ac:dyDescent="0.25">
      <c r="A157" t="s">
        <v>265</v>
      </c>
      <c r="B157" t="s">
        <v>266</v>
      </c>
      <c r="C157">
        <v>10</v>
      </c>
    </row>
    <row r="158" spans="1:3" x14ac:dyDescent="0.25">
      <c r="A158" t="s">
        <v>267</v>
      </c>
      <c r="B158" t="s">
        <v>268</v>
      </c>
      <c r="C158">
        <v>12.8</v>
      </c>
    </row>
    <row r="159" spans="1:3" x14ac:dyDescent="0.25">
      <c r="A159" t="s">
        <v>269</v>
      </c>
      <c r="B159" t="s">
        <v>270</v>
      </c>
      <c r="C159">
        <v>12.7</v>
      </c>
    </row>
    <row r="160" spans="1:3" x14ac:dyDescent="0.25">
      <c r="A160" t="s">
        <v>271</v>
      </c>
      <c r="B160" t="s">
        <v>272</v>
      </c>
      <c r="C160">
        <v>30</v>
      </c>
    </row>
    <row r="161" spans="1:3" x14ac:dyDescent="0.25">
      <c r="A161" t="s">
        <v>273</v>
      </c>
      <c r="B161" t="s">
        <v>274</v>
      </c>
      <c r="C161">
        <v>20.100000000000001</v>
      </c>
    </row>
    <row r="162" spans="1:3" x14ac:dyDescent="0.25">
      <c r="A162" t="s">
        <v>275</v>
      </c>
      <c r="B162" t="s">
        <v>276</v>
      </c>
      <c r="C162">
        <v>17.5</v>
      </c>
    </row>
    <row r="163" spans="1:3" x14ac:dyDescent="0.25">
      <c r="A163" t="s">
        <v>277</v>
      </c>
      <c r="B163" t="s">
        <v>278</v>
      </c>
      <c r="C163">
        <v>25</v>
      </c>
    </row>
    <row r="164" spans="1:3" x14ac:dyDescent="0.25">
      <c r="A164" t="s">
        <v>279</v>
      </c>
      <c r="B164" t="s">
        <v>280</v>
      </c>
      <c r="C164">
        <v>20</v>
      </c>
    </row>
    <row r="165" spans="1:3" x14ac:dyDescent="0.25">
      <c r="A165" t="s">
        <v>281</v>
      </c>
      <c r="B165" t="s">
        <v>282</v>
      </c>
      <c r="C165">
        <v>36</v>
      </c>
    </row>
    <row r="166" spans="1:3" x14ac:dyDescent="0.25">
      <c r="A166" t="s">
        <v>283</v>
      </c>
      <c r="B166" t="s">
        <v>284</v>
      </c>
      <c r="C166">
        <v>32</v>
      </c>
    </row>
    <row r="167" spans="1:3" x14ac:dyDescent="0.25">
      <c r="A167" t="s">
        <v>285</v>
      </c>
      <c r="B167" t="s">
        <v>286</v>
      </c>
      <c r="C167">
        <v>28.3</v>
      </c>
    </row>
    <row r="168" spans="1:3" x14ac:dyDescent="0.25">
      <c r="A168" t="s">
        <v>287</v>
      </c>
      <c r="B168" t="s">
        <v>288</v>
      </c>
      <c r="C168">
        <v>30</v>
      </c>
    </row>
    <row r="169" spans="1:3" x14ac:dyDescent="0.25">
      <c r="A169" t="s">
        <v>289</v>
      </c>
      <c r="B169" t="s">
        <v>289</v>
      </c>
      <c r="C169">
        <v>256.41000000000003</v>
      </c>
    </row>
    <row r="170" spans="1:3" x14ac:dyDescent="0.25">
      <c r="A170" t="s">
        <v>290</v>
      </c>
      <c r="B170" t="s">
        <v>290</v>
      </c>
      <c r="C170">
        <v>14.2</v>
      </c>
    </row>
    <row r="171" spans="1:3" x14ac:dyDescent="0.25">
      <c r="A171" t="s">
        <v>291</v>
      </c>
      <c r="C171">
        <v>45.25</v>
      </c>
    </row>
    <row r="172" spans="1:3" x14ac:dyDescent="0.25">
      <c r="A172" t="s">
        <v>292</v>
      </c>
      <c r="B172" t="s">
        <v>293</v>
      </c>
      <c r="C172">
        <v>79.55</v>
      </c>
    </row>
    <row r="173" spans="1:3" x14ac:dyDescent="0.25">
      <c r="A173" t="s">
        <v>294</v>
      </c>
      <c r="B173" t="s">
        <v>294</v>
      </c>
      <c r="C173">
        <v>42</v>
      </c>
    </row>
    <row r="174" spans="1:3" x14ac:dyDescent="0.25">
      <c r="A174" t="s">
        <v>295</v>
      </c>
      <c r="B174" t="s">
        <v>295</v>
      </c>
      <c r="C174">
        <v>42</v>
      </c>
    </row>
    <row r="175" spans="1:3" x14ac:dyDescent="0.25">
      <c r="A175" t="s">
        <v>296</v>
      </c>
      <c r="C175">
        <v>35.49</v>
      </c>
    </row>
    <row r="176" spans="1:3" x14ac:dyDescent="0.25">
      <c r="A176" t="s">
        <v>297</v>
      </c>
      <c r="B176" t="s">
        <v>298</v>
      </c>
      <c r="C176">
        <v>44.36</v>
      </c>
    </row>
    <row r="177" spans="1:3" x14ac:dyDescent="0.25">
      <c r="A177" t="s">
        <v>299</v>
      </c>
      <c r="B177" t="s">
        <v>300</v>
      </c>
      <c r="C177">
        <v>32.53</v>
      </c>
    </row>
    <row r="178" spans="1:3" x14ac:dyDescent="0.25">
      <c r="A178" t="s">
        <v>301</v>
      </c>
      <c r="B178" t="s">
        <v>302</v>
      </c>
      <c r="C178">
        <v>20</v>
      </c>
    </row>
    <row r="179" spans="1:3" x14ac:dyDescent="0.25">
      <c r="A179" t="s">
        <v>303</v>
      </c>
      <c r="B179" t="s">
        <v>303</v>
      </c>
      <c r="C179">
        <v>26.62</v>
      </c>
    </row>
    <row r="180" spans="1:3" x14ac:dyDescent="0.25">
      <c r="A180" t="s">
        <v>304</v>
      </c>
      <c r="B180" t="s">
        <v>304</v>
      </c>
      <c r="C180">
        <v>60</v>
      </c>
    </row>
    <row r="181" spans="1:3" x14ac:dyDescent="0.25">
      <c r="A181" t="s">
        <v>305</v>
      </c>
      <c r="B181" t="s">
        <v>305</v>
      </c>
      <c r="C181">
        <v>44.36</v>
      </c>
    </row>
    <row r="182" spans="1:3" x14ac:dyDescent="0.25">
      <c r="A182" t="s">
        <v>306</v>
      </c>
      <c r="B182" t="s">
        <v>307</v>
      </c>
      <c r="C182">
        <v>35.49</v>
      </c>
    </row>
    <row r="183" spans="1:3" x14ac:dyDescent="0.25">
      <c r="A183" t="s">
        <v>308</v>
      </c>
      <c r="B183" t="s">
        <v>309</v>
      </c>
      <c r="C183">
        <v>29.57</v>
      </c>
    </row>
    <row r="184" spans="1:3" x14ac:dyDescent="0.25">
      <c r="A184" t="s">
        <v>310</v>
      </c>
      <c r="B184" t="s">
        <v>311</v>
      </c>
      <c r="C184">
        <v>15</v>
      </c>
    </row>
    <row r="185" spans="1:3" x14ac:dyDescent="0.25">
      <c r="A185" t="s">
        <v>312</v>
      </c>
      <c r="B185" t="s">
        <v>313</v>
      </c>
      <c r="C185">
        <v>17.5</v>
      </c>
    </row>
    <row r="186" spans="1:3" x14ac:dyDescent="0.25">
      <c r="A186" t="s">
        <v>314</v>
      </c>
      <c r="B186" t="s">
        <v>315</v>
      </c>
      <c r="C186">
        <v>44.36</v>
      </c>
    </row>
    <row r="187" spans="1:3" x14ac:dyDescent="0.25">
      <c r="A187" t="s">
        <v>316</v>
      </c>
      <c r="B187" t="s">
        <v>317</v>
      </c>
      <c r="C187">
        <v>29.57</v>
      </c>
    </row>
    <row r="188" spans="1:3" x14ac:dyDescent="0.25">
      <c r="A188" t="s">
        <v>318</v>
      </c>
      <c r="B188" t="s">
        <v>319</v>
      </c>
      <c r="C188">
        <v>41.4</v>
      </c>
    </row>
    <row r="189" spans="1:3" x14ac:dyDescent="0.25">
      <c r="A189" t="s">
        <v>320</v>
      </c>
      <c r="B189" t="s">
        <v>321</v>
      </c>
      <c r="C189">
        <v>29.57</v>
      </c>
    </row>
    <row r="190" spans="1:3" x14ac:dyDescent="0.25">
      <c r="A190" t="s">
        <v>322</v>
      </c>
      <c r="B190" t="s">
        <v>323</v>
      </c>
      <c r="C190">
        <v>26.62</v>
      </c>
    </row>
    <row r="191" spans="1:3" x14ac:dyDescent="0.25">
      <c r="A191" t="s">
        <v>324</v>
      </c>
      <c r="B191" t="s">
        <v>325</v>
      </c>
      <c r="C191">
        <v>17.739999999999998</v>
      </c>
    </row>
    <row r="192" spans="1:3" x14ac:dyDescent="0.25">
      <c r="A192" t="s">
        <v>326</v>
      </c>
      <c r="B192" t="s">
        <v>327</v>
      </c>
      <c r="C192">
        <v>29.57</v>
      </c>
    </row>
    <row r="193" spans="1:3" x14ac:dyDescent="0.25">
      <c r="A193" t="s">
        <v>328</v>
      </c>
      <c r="B193" t="s">
        <v>329</v>
      </c>
      <c r="C193">
        <v>31.05</v>
      </c>
    </row>
    <row r="194" spans="1:3" x14ac:dyDescent="0.25">
      <c r="A194" t="s">
        <v>330</v>
      </c>
      <c r="B194" t="s">
        <v>331</v>
      </c>
      <c r="C194">
        <v>22.48</v>
      </c>
    </row>
    <row r="195" spans="1:3" x14ac:dyDescent="0.25">
      <c r="A195" t="s">
        <v>332</v>
      </c>
      <c r="B195" t="s">
        <v>333</v>
      </c>
      <c r="C195">
        <v>14.79</v>
      </c>
    </row>
    <row r="196" spans="1:3" x14ac:dyDescent="0.25">
      <c r="A196" t="s">
        <v>334</v>
      </c>
      <c r="B196" t="s">
        <v>335</v>
      </c>
      <c r="C196">
        <v>29.57</v>
      </c>
    </row>
    <row r="197" spans="1:3" x14ac:dyDescent="0.25">
      <c r="A197" t="s">
        <v>336</v>
      </c>
      <c r="C197">
        <v>0.3</v>
      </c>
    </row>
    <row r="198" spans="1:3" x14ac:dyDescent="0.25">
      <c r="A198" t="s">
        <v>337</v>
      </c>
      <c r="C198">
        <v>62.11</v>
      </c>
    </row>
    <row r="199" spans="1:3" x14ac:dyDescent="0.25">
      <c r="A199" t="s">
        <v>338</v>
      </c>
      <c r="C199">
        <v>3.5</v>
      </c>
    </row>
    <row r="200" spans="1:3" x14ac:dyDescent="0.25">
      <c r="A200" t="s">
        <v>339</v>
      </c>
      <c r="C200">
        <v>1.77</v>
      </c>
    </row>
    <row r="201" spans="1:3" x14ac:dyDescent="0.25">
      <c r="A201" t="s">
        <v>340</v>
      </c>
      <c r="C201">
        <v>3</v>
      </c>
    </row>
    <row r="202" spans="1:3" x14ac:dyDescent="0.25">
      <c r="A202" t="s">
        <v>341</v>
      </c>
      <c r="C202">
        <v>23.66</v>
      </c>
    </row>
    <row r="203" spans="1:3" x14ac:dyDescent="0.25">
      <c r="A203" t="s">
        <v>342</v>
      </c>
      <c r="C203">
        <v>2.66</v>
      </c>
    </row>
    <row r="204" spans="1:3" x14ac:dyDescent="0.25">
      <c r="A204" t="s">
        <v>343</v>
      </c>
      <c r="B204" t="s">
        <v>344</v>
      </c>
      <c r="C204">
        <v>3</v>
      </c>
    </row>
    <row r="205" spans="1:3" x14ac:dyDescent="0.25">
      <c r="A205" t="s">
        <v>345</v>
      </c>
      <c r="B205" t="s">
        <v>346</v>
      </c>
      <c r="C205">
        <v>3</v>
      </c>
    </row>
    <row r="206" spans="1:3" x14ac:dyDescent="0.25">
      <c r="A206" t="s">
        <v>347</v>
      </c>
      <c r="B206" t="s">
        <v>348</v>
      </c>
      <c r="C206">
        <v>39.92</v>
      </c>
    </row>
    <row r="207" spans="1:3" x14ac:dyDescent="0.25">
      <c r="A207" t="s">
        <v>349</v>
      </c>
      <c r="B207" t="s">
        <v>350</v>
      </c>
      <c r="C207">
        <v>20</v>
      </c>
    </row>
    <row r="208" spans="1:3" x14ac:dyDescent="0.25">
      <c r="A208" t="s">
        <v>351</v>
      </c>
      <c r="B208" t="s">
        <v>352</v>
      </c>
      <c r="C208">
        <v>25</v>
      </c>
    </row>
    <row r="209" spans="1:3" x14ac:dyDescent="0.25">
      <c r="A209" t="s">
        <v>353</v>
      </c>
      <c r="C209">
        <v>100</v>
      </c>
    </row>
    <row r="210" spans="1:3" x14ac:dyDescent="0.25">
      <c r="A210" t="s">
        <v>354</v>
      </c>
      <c r="C210">
        <v>100</v>
      </c>
    </row>
    <row r="211" spans="1:3" x14ac:dyDescent="0.25">
      <c r="A211" t="s">
        <v>355</v>
      </c>
      <c r="C211">
        <v>79.849999999999994</v>
      </c>
    </row>
    <row r="212" spans="1:3" x14ac:dyDescent="0.25">
      <c r="A212" t="s">
        <v>356</v>
      </c>
      <c r="B212" t="s">
        <v>216</v>
      </c>
      <c r="C212">
        <v>45.25</v>
      </c>
    </row>
    <row r="213" spans="1:3" x14ac:dyDescent="0.25">
      <c r="A213" t="s">
        <v>357</v>
      </c>
      <c r="B213" t="s">
        <v>357</v>
      </c>
      <c r="C213">
        <v>28.1</v>
      </c>
    </row>
    <row r="214" spans="1:3" x14ac:dyDescent="0.25">
      <c r="A214" t="s">
        <v>358</v>
      </c>
      <c r="C214">
        <v>28.1</v>
      </c>
    </row>
    <row r="215" spans="1:3" x14ac:dyDescent="0.25">
      <c r="A215" t="s">
        <v>359</v>
      </c>
      <c r="C215">
        <v>28.39</v>
      </c>
    </row>
    <row r="216" spans="1:3" x14ac:dyDescent="0.25">
      <c r="A216" t="s">
        <v>360</v>
      </c>
      <c r="B216" t="s">
        <v>361</v>
      </c>
      <c r="C216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C7AE-5E1C-4E03-9838-FEEADA35BD3B}">
  <dimension ref="A1:B398"/>
  <sheetViews>
    <sheetView workbookViewId="0">
      <selection sqref="A1:B1"/>
    </sheetView>
  </sheetViews>
  <sheetFormatPr defaultRowHeight="15" x14ac:dyDescent="0.25"/>
  <cols>
    <col min="1" max="1" width="56" bestFit="1" customWidth="1"/>
    <col min="2" max="2" width="28.42578125" bestFit="1" customWidth="1"/>
  </cols>
  <sheetData>
    <row r="1" spans="1:2" x14ac:dyDescent="0.25">
      <c r="A1" s="5" t="s">
        <v>24</v>
      </c>
      <c r="B1" s="5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366</v>
      </c>
      <c r="B3" t="s">
        <v>27</v>
      </c>
    </row>
    <row r="4" spans="1:2" x14ac:dyDescent="0.25">
      <c r="A4" t="s">
        <v>367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368</v>
      </c>
      <c r="B6" t="s">
        <v>29</v>
      </c>
    </row>
    <row r="7" spans="1:2" x14ac:dyDescent="0.25">
      <c r="A7" t="s">
        <v>369</v>
      </c>
      <c r="B7" t="s">
        <v>370</v>
      </c>
    </row>
    <row r="8" spans="1:2" x14ac:dyDescent="0.25">
      <c r="A8" t="s">
        <v>371</v>
      </c>
      <c r="B8" t="s">
        <v>372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373</v>
      </c>
    </row>
    <row r="11" spans="1:2" x14ac:dyDescent="0.25">
      <c r="A11" t="s">
        <v>32</v>
      </c>
    </row>
    <row r="12" spans="1:2" x14ac:dyDescent="0.25">
      <c r="A12" t="s">
        <v>374</v>
      </c>
      <c r="B12" t="s">
        <v>375</v>
      </c>
    </row>
    <row r="13" spans="1:2" x14ac:dyDescent="0.25">
      <c r="A13" t="s">
        <v>376</v>
      </c>
    </row>
    <row r="14" spans="1:2" x14ac:dyDescent="0.25">
      <c r="A14" t="s">
        <v>33</v>
      </c>
    </row>
    <row r="15" spans="1:2" x14ac:dyDescent="0.25">
      <c r="A15" t="s">
        <v>34</v>
      </c>
      <c r="B15" t="s">
        <v>35</v>
      </c>
    </row>
    <row r="16" spans="1:2" x14ac:dyDescent="0.25">
      <c r="A16" t="s">
        <v>377</v>
      </c>
    </row>
    <row r="17" spans="1:1" x14ac:dyDescent="0.25">
      <c r="A17" t="s">
        <v>378</v>
      </c>
    </row>
    <row r="18" spans="1:1" x14ac:dyDescent="0.25">
      <c r="A18" t="s">
        <v>36</v>
      </c>
    </row>
    <row r="19" spans="1:1" x14ac:dyDescent="0.25">
      <c r="A19" t="s">
        <v>379</v>
      </c>
    </row>
    <row r="20" spans="1:1" x14ac:dyDescent="0.25">
      <c r="A20" t="s">
        <v>380</v>
      </c>
    </row>
    <row r="21" spans="1:1" x14ac:dyDescent="0.25">
      <c r="A21" t="s">
        <v>381</v>
      </c>
    </row>
    <row r="22" spans="1:1" x14ac:dyDescent="0.25">
      <c r="A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382</v>
      </c>
    </row>
    <row r="26" spans="1:1" x14ac:dyDescent="0.25">
      <c r="A26" t="s">
        <v>383</v>
      </c>
    </row>
    <row r="27" spans="1:1" x14ac:dyDescent="0.25">
      <c r="A27" t="s">
        <v>384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385</v>
      </c>
    </row>
    <row r="31" spans="1:1" x14ac:dyDescent="0.25">
      <c r="A31" t="s">
        <v>386</v>
      </c>
    </row>
    <row r="32" spans="1:1" x14ac:dyDescent="0.25">
      <c r="A32" t="s">
        <v>387</v>
      </c>
    </row>
    <row r="33" spans="1:2" x14ac:dyDescent="0.25">
      <c r="A33" t="s">
        <v>388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389</v>
      </c>
    </row>
    <row r="42" spans="1:2" x14ac:dyDescent="0.25">
      <c r="A42" t="s">
        <v>390</v>
      </c>
    </row>
    <row r="43" spans="1:2" x14ac:dyDescent="0.25">
      <c r="A43" t="s">
        <v>391</v>
      </c>
    </row>
    <row r="44" spans="1:2" x14ac:dyDescent="0.25">
      <c r="A44" t="s">
        <v>392</v>
      </c>
    </row>
    <row r="45" spans="1:2" x14ac:dyDescent="0.25">
      <c r="A45" t="s">
        <v>49</v>
      </c>
    </row>
    <row r="46" spans="1:2" x14ac:dyDescent="0.25">
      <c r="A46" t="s">
        <v>393</v>
      </c>
      <c r="B46" t="s">
        <v>393</v>
      </c>
    </row>
    <row r="47" spans="1:2" x14ac:dyDescent="0.25">
      <c r="A47" t="s">
        <v>394</v>
      </c>
      <c r="B47" t="s">
        <v>394</v>
      </c>
    </row>
    <row r="48" spans="1:2" x14ac:dyDescent="0.25">
      <c r="A48" t="s">
        <v>395</v>
      </c>
      <c r="B48" t="s">
        <v>395</v>
      </c>
    </row>
    <row r="49" spans="1:2" x14ac:dyDescent="0.25">
      <c r="A49" t="s">
        <v>396</v>
      </c>
      <c r="B49" t="s">
        <v>396</v>
      </c>
    </row>
    <row r="50" spans="1:2" x14ac:dyDescent="0.25">
      <c r="A50" t="s">
        <v>397</v>
      </c>
      <c r="B50" t="s">
        <v>397</v>
      </c>
    </row>
    <row r="51" spans="1:2" x14ac:dyDescent="0.25">
      <c r="A51" t="s">
        <v>398</v>
      </c>
      <c r="B51" t="s">
        <v>398</v>
      </c>
    </row>
    <row r="52" spans="1:2" x14ac:dyDescent="0.25">
      <c r="A52" t="s">
        <v>399</v>
      </c>
      <c r="B52" t="s">
        <v>399</v>
      </c>
    </row>
    <row r="53" spans="1:2" x14ac:dyDescent="0.25">
      <c r="A53" t="s">
        <v>400</v>
      </c>
      <c r="B53" t="s">
        <v>400</v>
      </c>
    </row>
    <row r="54" spans="1:2" x14ac:dyDescent="0.25">
      <c r="A54" t="s">
        <v>401</v>
      </c>
      <c r="B54" t="s">
        <v>401</v>
      </c>
    </row>
    <row r="55" spans="1:2" x14ac:dyDescent="0.25">
      <c r="A55" t="s">
        <v>402</v>
      </c>
      <c r="B55" t="s">
        <v>402</v>
      </c>
    </row>
    <row r="56" spans="1:2" x14ac:dyDescent="0.25">
      <c r="A56" t="s">
        <v>403</v>
      </c>
      <c r="B56" t="s">
        <v>403</v>
      </c>
    </row>
    <row r="57" spans="1:2" x14ac:dyDescent="0.25">
      <c r="A57" t="s">
        <v>404</v>
      </c>
      <c r="B57" t="s">
        <v>404</v>
      </c>
    </row>
    <row r="58" spans="1:2" x14ac:dyDescent="0.25">
      <c r="A58" t="s">
        <v>405</v>
      </c>
      <c r="B58" t="s">
        <v>405</v>
      </c>
    </row>
    <row r="59" spans="1:2" x14ac:dyDescent="0.25">
      <c r="A59" t="s">
        <v>406</v>
      </c>
      <c r="B59" t="s">
        <v>406</v>
      </c>
    </row>
    <row r="60" spans="1:2" x14ac:dyDescent="0.25">
      <c r="A60" t="s">
        <v>407</v>
      </c>
      <c r="B60" t="s">
        <v>407</v>
      </c>
    </row>
    <row r="61" spans="1:2" x14ac:dyDescent="0.25">
      <c r="A61" t="s">
        <v>408</v>
      </c>
      <c r="B61" t="s">
        <v>408</v>
      </c>
    </row>
    <row r="62" spans="1:2" x14ac:dyDescent="0.25">
      <c r="A62" t="s">
        <v>409</v>
      </c>
      <c r="B62" t="s">
        <v>409</v>
      </c>
    </row>
    <row r="63" spans="1:2" x14ac:dyDescent="0.25">
      <c r="A63" t="s">
        <v>410</v>
      </c>
    </row>
    <row r="64" spans="1:2" x14ac:dyDescent="0.25">
      <c r="A64" t="s">
        <v>411</v>
      </c>
    </row>
    <row r="65" spans="1:2" x14ac:dyDescent="0.25">
      <c r="A65" t="s">
        <v>50</v>
      </c>
    </row>
    <row r="66" spans="1:2" x14ac:dyDescent="0.25">
      <c r="A66" t="s">
        <v>412</v>
      </c>
    </row>
    <row r="67" spans="1:2" x14ac:dyDescent="0.25">
      <c r="A67" t="s">
        <v>413</v>
      </c>
    </row>
    <row r="68" spans="1:2" x14ac:dyDescent="0.25">
      <c r="A68" t="s">
        <v>51</v>
      </c>
      <c r="B68" t="s">
        <v>52</v>
      </c>
    </row>
    <row r="69" spans="1:2" x14ac:dyDescent="0.25">
      <c r="A69" t="s">
        <v>414</v>
      </c>
      <c r="B69" t="s">
        <v>415</v>
      </c>
    </row>
    <row r="70" spans="1:2" x14ac:dyDescent="0.25">
      <c r="A70" t="s">
        <v>416</v>
      </c>
    </row>
    <row r="71" spans="1:2" x14ac:dyDescent="0.25">
      <c r="A71" t="s">
        <v>53</v>
      </c>
    </row>
    <row r="72" spans="1:2" x14ac:dyDescent="0.25">
      <c r="A72" t="s">
        <v>417</v>
      </c>
      <c r="B72" t="s">
        <v>55</v>
      </c>
    </row>
    <row r="73" spans="1:2" x14ac:dyDescent="0.25">
      <c r="A73" t="s">
        <v>54</v>
      </c>
      <c r="B73" t="s">
        <v>55</v>
      </c>
    </row>
    <row r="74" spans="1:2" x14ac:dyDescent="0.25">
      <c r="A74" t="s">
        <v>418</v>
      </c>
      <c r="B74" t="s">
        <v>419</v>
      </c>
    </row>
    <row r="75" spans="1:2" x14ac:dyDescent="0.25">
      <c r="A75" t="s">
        <v>420</v>
      </c>
      <c r="B75" t="s">
        <v>421</v>
      </c>
    </row>
    <row r="76" spans="1:2" x14ac:dyDescent="0.25">
      <c r="A76" t="s">
        <v>422</v>
      </c>
    </row>
    <row r="77" spans="1:2" x14ac:dyDescent="0.25">
      <c r="A77" t="s">
        <v>56</v>
      </c>
      <c r="B77" t="s">
        <v>57</v>
      </c>
    </row>
    <row r="78" spans="1:2" x14ac:dyDescent="0.25">
      <c r="A78" t="s">
        <v>423</v>
      </c>
      <c r="B78" t="s">
        <v>57</v>
      </c>
    </row>
    <row r="79" spans="1:2" x14ac:dyDescent="0.25">
      <c r="A79" t="s">
        <v>58</v>
      </c>
      <c r="B79" t="s">
        <v>57</v>
      </c>
    </row>
    <row r="80" spans="1:2" x14ac:dyDescent="0.25">
      <c r="A80" t="s">
        <v>424</v>
      </c>
      <c r="B80" t="s">
        <v>57</v>
      </c>
    </row>
    <row r="81" spans="1:2" x14ac:dyDescent="0.25">
      <c r="A81" t="s">
        <v>425</v>
      </c>
    </row>
    <row r="82" spans="1:2" x14ac:dyDescent="0.25">
      <c r="A82" t="s">
        <v>426</v>
      </c>
      <c r="B82" t="s">
        <v>427</v>
      </c>
    </row>
    <row r="83" spans="1:2" x14ac:dyDescent="0.25">
      <c r="A83" t="s">
        <v>428</v>
      </c>
    </row>
    <row r="84" spans="1:2" x14ac:dyDescent="0.25">
      <c r="A84" t="s">
        <v>59</v>
      </c>
      <c r="B84" t="s">
        <v>60</v>
      </c>
    </row>
    <row r="85" spans="1:2" x14ac:dyDescent="0.25">
      <c r="A85" t="s">
        <v>61</v>
      </c>
      <c r="B85" t="s">
        <v>62</v>
      </c>
    </row>
    <row r="86" spans="1:2" x14ac:dyDescent="0.25">
      <c r="A86" t="s">
        <v>63</v>
      </c>
      <c r="B86" t="s">
        <v>64</v>
      </c>
    </row>
    <row r="87" spans="1:2" x14ac:dyDescent="0.25">
      <c r="A87" t="s">
        <v>65</v>
      </c>
      <c r="B87" t="s">
        <v>66</v>
      </c>
    </row>
    <row r="88" spans="1:2" x14ac:dyDescent="0.25">
      <c r="A88" t="s">
        <v>429</v>
      </c>
      <c r="B88" t="s">
        <v>68</v>
      </c>
    </row>
    <row r="89" spans="1:2" x14ac:dyDescent="0.25">
      <c r="A89" t="s">
        <v>67</v>
      </c>
      <c r="B89" t="s">
        <v>68</v>
      </c>
    </row>
    <row r="90" spans="1:2" x14ac:dyDescent="0.25">
      <c r="A90" t="s">
        <v>430</v>
      </c>
      <c r="B90" t="s">
        <v>431</v>
      </c>
    </row>
    <row r="91" spans="1:2" x14ac:dyDescent="0.25">
      <c r="A91" t="s">
        <v>432</v>
      </c>
      <c r="B91" t="s">
        <v>433</v>
      </c>
    </row>
    <row r="92" spans="1:2" x14ac:dyDescent="0.25">
      <c r="A92" t="s">
        <v>434</v>
      </c>
      <c r="B92" t="s">
        <v>435</v>
      </c>
    </row>
    <row r="93" spans="1:2" x14ac:dyDescent="0.25">
      <c r="A93" t="s">
        <v>436</v>
      </c>
      <c r="B93" t="s">
        <v>437</v>
      </c>
    </row>
    <row r="94" spans="1:2" x14ac:dyDescent="0.25">
      <c r="A94" t="s">
        <v>438</v>
      </c>
      <c r="B94" t="s">
        <v>439</v>
      </c>
    </row>
    <row r="95" spans="1:2" x14ac:dyDescent="0.25">
      <c r="A95" t="s">
        <v>440</v>
      </c>
      <c r="B95" t="s">
        <v>441</v>
      </c>
    </row>
    <row r="96" spans="1:2" x14ac:dyDescent="0.25">
      <c r="A96" t="s">
        <v>69</v>
      </c>
      <c r="B96" t="s">
        <v>69</v>
      </c>
    </row>
    <row r="97" spans="1:2" x14ac:dyDescent="0.25">
      <c r="A97" t="s">
        <v>442</v>
      </c>
      <c r="B97" t="s">
        <v>71</v>
      </c>
    </row>
    <row r="98" spans="1:2" x14ac:dyDescent="0.25">
      <c r="A98" t="s">
        <v>70</v>
      </c>
      <c r="B98" t="s">
        <v>71</v>
      </c>
    </row>
    <row r="99" spans="1:2" x14ac:dyDescent="0.25">
      <c r="A99" t="s">
        <v>443</v>
      </c>
      <c r="B99" t="s">
        <v>73</v>
      </c>
    </row>
    <row r="100" spans="1:2" x14ac:dyDescent="0.25">
      <c r="A100" t="s">
        <v>72</v>
      </c>
      <c r="B100" t="s">
        <v>73</v>
      </c>
    </row>
    <row r="101" spans="1:2" x14ac:dyDescent="0.25">
      <c r="A101" t="s">
        <v>444</v>
      </c>
    </row>
    <row r="102" spans="1:2" x14ac:dyDescent="0.25">
      <c r="A102" t="s">
        <v>445</v>
      </c>
    </row>
    <row r="103" spans="1:2" x14ac:dyDescent="0.25">
      <c r="A103" t="s">
        <v>446</v>
      </c>
    </row>
    <row r="104" spans="1:2" x14ac:dyDescent="0.25">
      <c r="A104" t="s">
        <v>74</v>
      </c>
      <c r="B104" t="s">
        <v>75</v>
      </c>
    </row>
    <row r="105" spans="1:2" x14ac:dyDescent="0.25">
      <c r="A105" t="s">
        <v>447</v>
      </c>
      <c r="B105" t="s">
        <v>448</v>
      </c>
    </row>
    <row r="106" spans="1:2" x14ac:dyDescent="0.25">
      <c r="A106" t="s">
        <v>449</v>
      </c>
    </row>
    <row r="107" spans="1:2" x14ac:dyDescent="0.25">
      <c r="A107" t="s">
        <v>450</v>
      </c>
    </row>
    <row r="108" spans="1:2" x14ac:dyDescent="0.25">
      <c r="A108" t="s">
        <v>76</v>
      </c>
      <c r="B108" t="s">
        <v>77</v>
      </c>
    </row>
    <row r="109" spans="1:2" x14ac:dyDescent="0.25">
      <c r="A109" t="s">
        <v>78</v>
      </c>
      <c r="B109" t="s">
        <v>79</v>
      </c>
    </row>
    <row r="110" spans="1:2" x14ac:dyDescent="0.25">
      <c r="A110" t="s">
        <v>80</v>
      </c>
      <c r="B110" t="s">
        <v>81</v>
      </c>
    </row>
    <row r="111" spans="1:2" x14ac:dyDescent="0.25">
      <c r="A111" t="s">
        <v>451</v>
      </c>
      <c r="B111" t="s">
        <v>452</v>
      </c>
    </row>
    <row r="112" spans="1:2" x14ac:dyDescent="0.25">
      <c r="A112" t="s">
        <v>453</v>
      </c>
      <c r="B112" t="s">
        <v>454</v>
      </c>
    </row>
    <row r="113" spans="1:2" x14ac:dyDescent="0.25">
      <c r="A113" t="s">
        <v>455</v>
      </c>
      <c r="B113" t="s">
        <v>456</v>
      </c>
    </row>
    <row r="114" spans="1:2" x14ac:dyDescent="0.25">
      <c r="A114" t="s">
        <v>457</v>
      </c>
      <c r="B114" t="s">
        <v>458</v>
      </c>
    </row>
    <row r="115" spans="1:2" x14ac:dyDescent="0.25">
      <c r="A115" t="s">
        <v>459</v>
      </c>
      <c r="B115" t="s">
        <v>460</v>
      </c>
    </row>
    <row r="116" spans="1:2" x14ac:dyDescent="0.25">
      <c r="A116" t="s">
        <v>461</v>
      </c>
      <c r="B116" t="s">
        <v>462</v>
      </c>
    </row>
    <row r="117" spans="1:2" x14ac:dyDescent="0.25">
      <c r="A117" t="s">
        <v>463</v>
      </c>
      <c r="B117" t="s">
        <v>464</v>
      </c>
    </row>
    <row r="118" spans="1:2" x14ac:dyDescent="0.25">
      <c r="A118" t="s">
        <v>465</v>
      </c>
      <c r="B118" t="s">
        <v>466</v>
      </c>
    </row>
    <row r="119" spans="1:2" x14ac:dyDescent="0.25">
      <c r="A119" t="s">
        <v>467</v>
      </c>
      <c r="B119" t="s">
        <v>468</v>
      </c>
    </row>
    <row r="120" spans="1:2" x14ac:dyDescent="0.25">
      <c r="A120" t="s">
        <v>469</v>
      </c>
      <c r="B120" t="s">
        <v>470</v>
      </c>
    </row>
    <row r="121" spans="1:2" x14ac:dyDescent="0.25">
      <c r="A121" t="s">
        <v>471</v>
      </c>
      <c r="B121" t="s">
        <v>472</v>
      </c>
    </row>
    <row r="122" spans="1:2" x14ac:dyDescent="0.25">
      <c r="A122" t="s">
        <v>473</v>
      </c>
      <c r="B122" t="s">
        <v>474</v>
      </c>
    </row>
    <row r="123" spans="1:2" x14ac:dyDescent="0.25">
      <c r="A123" t="s">
        <v>475</v>
      </c>
      <c r="B123" t="s">
        <v>476</v>
      </c>
    </row>
    <row r="124" spans="1:2" x14ac:dyDescent="0.25">
      <c r="A124" t="s">
        <v>477</v>
      </c>
      <c r="B124" t="s">
        <v>478</v>
      </c>
    </row>
    <row r="125" spans="1:2" x14ac:dyDescent="0.25">
      <c r="A125" t="s">
        <v>479</v>
      </c>
      <c r="B125" t="s">
        <v>480</v>
      </c>
    </row>
    <row r="126" spans="1:2" x14ac:dyDescent="0.25">
      <c r="A126" t="s">
        <v>481</v>
      </c>
      <c r="B126" t="s">
        <v>482</v>
      </c>
    </row>
    <row r="127" spans="1:2" x14ac:dyDescent="0.25">
      <c r="A127" t="s">
        <v>483</v>
      </c>
      <c r="B127" t="s">
        <v>484</v>
      </c>
    </row>
    <row r="128" spans="1:2" x14ac:dyDescent="0.25">
      <c r="A128" t="s">
        <v>485</v>
      </c>
    </row>
    <row r="129" spans="1:2" x14ac:dyDescent="0.25">
      <c r="A129" t="s">
        <v>486</v>
      </c>
      <c r="B129" t="s">
        <v>487</v>
      </c>
    </row>
    <row r="130" spans="1:2" x14ac:dyDescent="0.25">
      <c r="A130" t="s">
        <v>488</v>
      </c>
      <c r="B130" t="s">
        <v>489</v>
      </c>
    </row>
    <row r="131" spans="1:2" x14ac:dyDescent="0.25">
      <c r="A131" t="s">
        <v>82</v>
      </c>
      <c r="B131" t="s">
        <v>83</v>
      </c>
    </row>
    <row r="132" spans="1:2" x14ac:dyDescent="0.25">
      <c r="A132" t="s">
        <v>84</v>
      </c>
    </row>
    <row r="133" spans="1:2" x14ac:dyDescent="0.25">
      <c r="A133" t="s">
        <v>85</v>
      </c>
    </row>
    <row r="134" spans="1:2" x14ac:dyDescent="0.25">
      <c r="A134" t="s">
        <v>86</v>
      </c>
    </row>
    <row r="135" spans="1:2" x14ac:dyDescent="0.25">
      <c r="A135" t="s">
        <v>87</v>
      </c>
    </row>
    <row r="136" spans="1:2" x14ac:dyDescent="0.25">
      <c r="A136" t="s">
        <v>88</v>
      </c>
    </row>
    <row r="137" spans="1:2" x14ac:dyDescent="0.25">
      <c r="A137" t="s">
        <v>89</v>
      </c>
    </row>
    <row r="138" spans="1:2" x14ac:dyDescent="0.25">
      <c r="A138" t="s">
        <v>90</v>
      </c>
    </row>
    <row r="139" spans="1:2" x14ac:dyDescent="0.25">
      <c r="A139" t="s">
        <v>91</v>
      </c>
    </row>
    <row r="140" spans="1:2" x14ac:dyDescent="0.25">
      <c r="A140" t="s">
        <v>92</v>
      </c>
    </row>
    <row r="141" spans="1:2" x14ac:dyDescent="0.25">
      <c r="A141" t="s">
        <v>93</v>
      </c>
    </row>
    <row r="142" spans="1:2" x14ac:dyDescent="0.25">
      <c r="A142" t="s">
        <v>94</v>
      </c>
    </row>
    <row r="143" spans="1:2" x14ac:dyDescent="0.25">
      <c r="A143" t="s">
        <v>95</v>
      </c>
    </row>
    <row r="144" spans="1:2" x14ac:dyDescent="0.25">
      <c r="A144" t="s">
        <v>96</v>
      </c>
    </row>
    <row r="145" spans="1:2" x14ac:dyDescent="0.25">
      <c r="A145" t="s">
        <v>97</v>
      </c>
    </row>
    <row r="146" spans="1:2" x14ac:dyDescent="0.25">
      <c r="A146" t="s">
        <v>98</v>
      </c>
    </row>
    <row r="147" spans="1:2" x14ac:dyDescent="0.25">
      <c r="A147" t="s">
        <v>490</v>
      </c>
      <c r="B147" t="s">
        <v>491</v>
      </c>
    </row>
    <row r="148" spans="1:2" x14ac:dyDescent="0.25">
      <c r="A148" t="s">
        <v>492</v>
      </c>
      <c r="B148" t="s">
        <v>493</v>
      </c>
    </row>
    <row r="149" spans="1:2" x14ac:dyDescent="0.25">
      <c r="A149" t="s">
        <v>99</v>
      </c>
      <c r="B149" t="s">
        <v>100</v>
      </c>
    </row>
    <row r="150" spans="1:2" x14ac:dyDescent="0.25">
      <c r="A150" t="s">
        <v>101</v>
      </c>
      <c r="B150" t="s">
        <v>102</v>
      </c>
    </row>
    <row r="151" spans="1:2" x14ac:dyDescent="0.25">
      <c r="A151" t="s">
        <v>103</v>
      </c>
      <c r="B151" t="s">
        <v>104</v>
      </c>
    </row>
    <row r="152" spans="1:2" x14ac:dyDescent="0.25">
      <c r="A152" t="s">
        <v>105</v>
      </c>
      <c r="B152" t="s">
        <v>106</v>
      </c>
    </row>
    <row r="153" spans="1:2" x14ac:dyDescent="0.25">
      <c r="A153" t="s">
        <v>107</v>
      </c>
      <c r="B153" t="s">
        <v>108</v>
      </c>
    </row>
    <row r="154" spans="1:2" x14ac:dyDescent="0.25">
      <c r="A154" t="s">
        <v>109</v>
      </c>
      <c r="B154" t="s">
        <v>110</v>
      </c>
    </row>
    <row r="155" spans="1:2" x14ac:dyDescent="0.25">
      <c r="A155" t="s">
        <v>111</v>
      </c>
      <c r="B155" t="s">
        <v>112</v>
      </c>
    </row>
    <row r="156" spans="1:2" x14ac:dyDescent="0.25">
      <c r="A156" t="s">
        <v>113</v>
      </c>
      <c r="B156" t="s">
        <v>114</v>
      </c>
    </row>
    <row r="157" spans="1:2" x14ac:dyDescent="0.25">
      <c r="A157" t="s">
        <v>115</v>
      </c>
      <c r="B157" t="s">
        <v>116</v>
      </c>
    </row>
    <row r="158" spans="1:2" x14ac:dyDescent="0.25">
      <c r="A158" t="s">
        <v>117</v>
      </c>
      <c r="B158" t="s">
        <v>118</v>
      </c>
    </row>
    <row r="159" spans="1:2" x14ac:dyDescent="0.25">
      <c r="A159" t="s">
        <v>119</v>
      </c>
    </row>
    <row r="160" spans="1:2" x14ac:dyDescent="0.25">
      <c r="A160" t="s">
        <v>120</v>
      </c>
      <c r="B160" t="s">
        <v>121</v>
      </c>
    </row>
    <row r="161" spans="1:2" x14ac:dyDescent="0.25">
      <c r="A161" t="s">
        <v>494</v>
      </c>
    </row>
    <row r="162" spans="1:2" x14ac:dyDescent="0.25">
      <c r="A162" t="s">
        <v>495</v>
      </c>
      <c r="B162" t="s">
        <v>496</v>
      </c>
    </row>
    <row r="163" spans="1:2" x14ac:dyDescent="0.25">
      <c r="A163" t="s">
        <v>122</v>
      </c>
      <c r="B163" t="s">
        <v>123</v>
      </c>
    </row>
    <row r="164" spans="1:2" x14ac:dyDescent="0.25">
      <c r="A164" t="s">
        <v>124</v>
      </c>
      <c r="B164" t="s">
        <v>125</v>
      </c>
    </row>
    <row r="165" spans="1:2" x14ac:dyDescent="0.25">
      <c r="A165" t="s">
        <v>126</v>
      </c>
      <c r="B165" t="s">
        <v>127</v>
      </c>
    </row>
    <row r="166" spans="1:2" x14ac:dyDescent="0.25">
      <c r="A166" t="s">
        <v>128</v>
      </c>
    </row>
    <row r="167" spans="1:2" x14ac:dyDescent="0.25">
      <c r="A167" t="s">
        <v>129</v>
      </c>
    </row>
    <row r="168" spans="1:2" x14ac:dyDescent="0.25">
      <c r="A168" t="s">
        <v>130</v>
      </c>
      <c r="B168" t="s">
        <v>131</v>
      </c>
    </row>
    <row r="169" spans="1:2" x14ac:dyDescent="0.25">
      <c r="A169" t="s">
        <v>132</v>
      </c>
      <c r="B169" t="s">
        <v>133</v>
      </c>
    </row>
    <row r="170" spans="1:2" x14ac:dyDescent="0.25">
      <c r="A170" t="s">
        <v>134</v>
      </c>
      <c r="B170" t="s">
        <v>135</v>
      </c>
    </row>
    <row r="171" spans="1:2" x14ac:dyDescent="0.25">
      <c r="A171" t="s">
        <v>136</v>
      </c>
      <c r="B171" t="s">
        <v>137</v>
      </c>
    </row>
    <row r="172" spans="1:2" x14ac:dyDescent="0.25">
      <c r="A172" t="s">
        <v>138</v>
      </c>
      <c r="B172" t="s">
        <v>139</v>
      </c>
    </row>
    <row r="173" spans="1:2" x14ac:dyDescent="0.25">
      <c r="A173" t="s">
        <v>140</v>
      </c>
      <c r="B173" t="s">
        <v>141</v>
      </c>
    </row>
    <row r="174" spans="1:2" x14ac:dyDescent="0.25">
      <c r="A174" t="s">
        <v>142</v>
      </c>
      <c r="B174" t="s">
        <v>143</v>
      </c>
    </row>
    <row r="175" spans="1:2" x14ac:dyDescent="0.25">
      <c r="A175" t="s">
        <v>497</v>
      </c>
      <c r="B175" t="s">
        <v>498</v>
      </c>
    </row>
    <row r="176" spans="1:2" x14ac:dyDescent="0.25">
      <c r="A176" t="s">
        <v>499</v>
      </c>
      <c r="B176" t="s">
        <v>500</v>
      </c>
    </row>
    <row r="177" spans="1:2" x14ac:dyDescent="0.25">
      <c r="A177" t="s">
        <v>501</v>
      </c>
    </row>
    <row r="178" spans="1:2" x14ac:dyDescent="0.25">
      <c r="A178" t="s">
        <v>502</v>
      </c>
      <c r="B178" t="s">
        <v>327</v>
      </c>
    </row>
    <row r="179" spans="1:2" x14ac:dyDescent="0.25">
      <c r="A179" t="s">
        <v>503</v>
      </c>
      <c r="B179" t="s">
        <v>147</v>
      </c>
    </row>
    <row r="180" spans="1:2" x14ac:dyDescent="0.25">
      <c r="A180" t="s">
        <v>504</v>
      </c>
      <c r="B180" t="s">
        <v>147</v>
      </c>
    </row>
    <row r="181" spans="1:2" x14ac:dyDescent="0.25">
      <c r="A181" t="s">
        <v>146</v>
      </c>
      <c r="B181" t="s">
        <v>147</v>
      </c>
    </row>
    <row r="182" spans="1:2" x14ac:dyDescent="0.25">
      <c r="A182" t="s">
        <v>505</v>
      </c>
      <c r="B182" t="s">
        <v>149</v>
      </c>
    </row>
    <row r="183" spans="1:2" x14ac:dyDescent="0.25">
      <c r="A183" t="s">
        <v>148</v>
      </c>
      <c r="B183" t="s">
        <v>149</v>
      </c>
    </row>
    <row r="184" spans="1:2" x14ac:dyDescent="0.25">
      <c r="A184" t="s">
        <v>506</v>
      </c>
      <c r="B184" t="s">
        <v>149</v>
      </c>
    </row>
    <row r="185" spans="1:2" x14ac:dyDescent="0.25">
      <c r="A185" t="s">
        <v>507</v>
      </c>
    </row>
    <row r="186" spans="1:2" x14ac:dyDescent="0.25">
      <c r="A186" t="s">
        <v>150</v>
      </c>
      <c r="B186" t="s">
        <v>151</v>
      </c>
    </row>
    <row r="187" spans="1:2" x14ac:dyDescent="0.25">
      <c r="A187" t="s">
        <v>152</v>
      </c>
      <c r="B187" t="s">
        <v>153</v>
      </c>
    </row>
    <row r="188" spans="1:2" x14ac:dyDescent="0.25">
      <c r="A188" t="s">
        <v>508</v>
      </c>
      <c r="B188" t="s">
        <v>509</v>
      </c>
    </row>
    <row r="189" spans="1:2" x14ac:dyDescent="0.25">
      <c r="A189" t="s">
        <v>510</v>
      </c>
      <c r="B189" t="s">
        <v>511</v>
      </c>
    </row>
    <row r="190" spans="1:2" x14ac:dyDescent="0.25">
      <c r="A190" t="s">
        <v>154</v>
      </c>
      <c r="B190" t="s">
        <v>88</v>
      </c>
    </row>
    <row r="191" spans="1:2" x14ac:dyDescent="0.25">
      <c r="A191" t="s">
        <v>155</v>
      </c>
      <c r="B191" t="s">
        <v>156</v>
      </c>
    </row>
    <row r="192" spans="1:2" x14ac:dyDescent="0.25">
      <c r="A192" t="s">
        <v>157</v>
      </c>
      <c r="B192" t="s">
        <v>158</v>
      </c>
    </row>
    <row r="193" spans="1:2" x14ac:dyDescent="0.25">
      <c r="A193" t="s">
        <v>159</v>
      </c>
      <c r="B193" t="s">
        <v>160</v>
      </c>
    </row>
    <row r="194" spans="1:2" x14ac:dyDescent="0.25">
      <c r="A194" t="s">
        <v>161</v>
      </c>
      <c r="B194" t="s">
        <v>162</v>
      </c>
    </row>
    <row r="195" spans="1:2" x14ac:dyDescent="0.25">
      <c r="A195" t="s">
        <v>163</v>
      </c>
      <c r="B195" t="s">
        <v>164</v>
      </c>
    </row>
    <row r="196" spans="1:2" x14ac:dyDescent="0.25">
      <c r="A196" t="s">
        <v>165</v>
      </c>
      <c r="B196" t="s">
        <v>166</v>
      </c>
    </row>
    <row r="197" spans="1:2" x14ac:dyDescent="0.25">
      <c r="A197" t="s">
        <v>167</v>
      </c>
      <c r="B197" t="s">
        <v>168</v>
      </c>
    </row>
    <row r="198" spans="1:2" x14ac:dyDescent="0.25">
      <c r="A198" t="s">
        <v>512</v>
      </c>
      <c r="B198" t="s">
        <v>513</v>
      </c>
    </row>
    <row r="199" spans="1:2" x14ac:dyDescent="0.25">
      <c r="A199" t="s">
        <v>514</v>
      </c>
    </row>
    <row r="200" spans="1:2" x14ac:dyDescent="0.25">
      <c r="A200" t="s">
        <v>515</v>
      </c>
    </row>
    <row r="201" spans="1:2" x14ac:dyDescent="0.25">
      <c r="A201" t="s">
        <v>516</v>
      </c>
      <c r="B201" t="s">
        <v>517</v>
      </c>
    </row>
    <row r="202" spans="1:2" x14ac:dyDescent="0.25">
      <c r="A202" t="s">
        <v>518</v>
      </c>
    </row>
    <row r="203" spans="1:2" x14ac:dyDescent="0.25">
      <c r="A203" t="s">
        <v>519</v>
      </c>
      <c r="B203" t="s">
        <v>519</v>
      </c>
    </row>
    <row r="204" spans="1:2" x14ac:dyDescent="0.25">
      <c r="A204" t="s">
        <v>169</v>
      </c>
      <c r="B204" t="s">
        <v>169</v>
      </c>
    </row>
    <row r="205" spans="1:2" x14ac:dyDescent="0.25">
      <c r="A205" t="s">
        <v>520</v>
      </c>
      <c r="B205" t="s">
        <v>520</v>
      </c>
    </row>
    <row r="206" spans="1:2" x14ac:dyDescent="0.25">
      <c r="A206" t="s">
        <v>170</v>
      </c>
      <c r="B206" t="s">
        <v>171</v>
      </c>
    </row>
    <row r="207" spans="1:2" x14ac:dyDescent="0.25">
      <c r="A207" t="s">
        <v>172</v>
      </c>
      <c r="B207" t="s">
        <v>173</v>
      </c>
    </row>
    <row r="208" spans="1:2" x14ac:dyDescent="0.25">
      <c r="A208" t="s">
        <v>521</v>
      </c>
      <c r="B208" t="s">
        <v>522</v>
      </c>
    </row>
    <row r="209" spans="1:2" x14ac:dyDescent="0.25">
      <c r="A209" t="s">
        <v>523</v>
      </c>
      <c r="B209" t="s">
        <v>523</v>
      </c>
    </row>
    <row r="210" spans="1:2" x14ac:dyDescent="0.25">
      <c r="A210" t="s">
        <v>524</v>
      </c>
      <c r="B210" t="s">
        <v>524</v>
      </c>
    </row>
    <row r="211" spans="1:2" x14ac:dyDescent="0.25">
      <c r="A211" t="s">
        <v>174</v>
      </c>
      <c r="B211" t="s">
        <v>174</v>
      </c>
    </row>
    <row r="212" spans="1:2" x14ac:dyDescent="0.25">
      <c r="A212" t="s">
        <v>175</v>
      </c>
      <c r="B212" t="s">
        <v>176</v>
      </c>
    </row>
    <row r="213" spans="1:2" x14ac:dyDescent="0.25">
      <c r="A213" t="s">
        <v>525</v>
      </c>
      <c r="B213" t="s">
        <v>526</v>
      </c>
    </row>
    <row r="214" spans="1:2" x14ac:dyDescent="0.25">
      <c r="A214" t="s">
        <v>527</v>
      </c>
      <c r="B214" t="s">
        <v>527</v>
      </c>
    </row>
    <row r="215" spans="1:2" x14ac:dyDescent="0.25">
      <c r="A215" t="s">
        <v>528</v>
      </c>
      <c r="B215" t="s">
        <v>528</v>
      </c>
    </row>
    <row r="216" spans="1:2" x14ac:dyDescent="0.25">
      <c r="A216" t="s">
        <v>177</v>
      </c>
    </row>
    <row r="217" spans="1:2" x14ac:dyDescent="0.25">
      <c r="A217" t="s">
        <v>178</v>
      </c>
    </row>
    <row r="218" spans="1:2" x14ac:dyDescent="0.25">
      <c r="A218" t="s">
        <v>179</v>
      </c>
    </row>
    <row r="219" spans="1:2" x14ac:dyDescent="0.25">
      <c r="A219" t="s">
        <v>180</v>
      </c>
    </row>
    <row r="220" spans="1:2" x14ac:dyDescent="0.25">
      <c r="A220" t="s">
        <v>529</v>
      </c>
      <c r="B220" t="s">
        <v>529</v>
      </c>
    </row>
    <row r="221" spans="1:2" x14ac:dyDescent="0.25">
      <c r="A221" t="s">
        <v>530</v>
      </c>
      <c r="B221" t="s">
        <v>530</v>
      </c>
    </row>
    <row r="222" spans="1:2" x14ac:dyDescent="0.25">
      <c r="A222" t="s">
        <v>531</v>
      </c>
      <c r="B222" t="s">
        <v>531</v>
      </c>
    </row>
    <row r="223" spans="1:2" x14ac:dyDescent="0.25">
      <c r="A223" t="s">
        <v>532</v>
      </c>
      <c r="B223" t="s">
        <v>532</v>
      </c>
    </row>
    <row r="224" spans="1:2" x14ac:dyDescent="0.25">
      <c r="A224" t="s">
        <v>533</v>
      </c>
      <c r="B224" t="s">
        <v>533</v>
      </c>
    </row>
    <row r="225" spans="1:2" x14ac:dyDescent="0.25">
      <c r="A225" t="s">
        <v>190</v>
      </c>
      <c r="B225" t="s">
        <v>191</v>
      </c>
    </row>
    <row r="226" spans="1:2" x14ac:dyDescent="0.25">
      <c r="A226" t="s">
        <v>192</v>
      </c>
      <c r="B226" t="s">
        <v>193</v>
      </c>
    </row>
    <row r="227" spans="1:2" x14ac:dyDescent="0.25">
      <c r="A227" t="s">
        <v>194</v>
      </c>
      <c r="B227" t="s">
        <v>195</v>
      </c>
    </row>
    <row r="228" spans="1:2" x14ac:dyDescent="0.25">
      <c r="A228" t="s">
        <v>196</v>
      </c>
      <c r="B228" t="s">
        <v>197</v>
      </c>
    </row>
    <row r="229" spans="1:2" x14ac:dyDescent="0.25">
      <c r="A229" t="s">
        <v>198</v>
      </c>
      <c r="B229" t="s">
        <v>199</v>
      </c>
    </row>
    <row r="230" spans="1:2" x14ac:dyDescent="0.25">
      <c r="A230" t="s">
        <v>200</v>
      </c>
      <c r="B230" t="s">
        <v>201</v>
      </c>
    </row>
    <row r="231" spans="1:2" x14ac:dyDescent="0.25">
      <c r="A231" t="s">
        <v>202</v>
      </c>
      <c r="B231" t="s">
        <v>203</v>
      </c>
    </row>
    <row r="232" spans="1:2" x14ac:dyDescent="0.25">
      <c r="A232" t="s">
        <v>204</v>
      </c>
      <c r="B232" t="s">
        <v>205</v>
      </c>
    </row>
    <row r="233" spans="1:2" x14ac:dyDescent="0.25">
      <c r="A233" t="s">
        <v>206</v>
      </c>
      <c r="B233" t="s">
        <v>207</v>
      </c>
    </row>
    <row r="234" spans="1:2" x14ac:dyDescent="0.25">
      <c r="A234" t="s">
        <v>208</v>
      </c>
      <c r="B234" t="s">
        <v>208</v>
      </c>
    </row>
    <row r="235" spans="1:2" x14ac:dyDescent="0.25">
      <c r="A235" t="s">
        <v>209</v>
      </c>
      <c r="B235" t="s">
        <v>210</v>
      </c>
    </row>
    <row r="236" spans="1:2" x14ac:dyDescent="0.25">
      <c r="A236" t="s">
        <v>211</v>
      </c>
    </row>
    <row r="237" spans="1:2" x14ac:dyDescent="0.25">
      <c r="A237" t="s">
        <v>212</v>
      </c>
    </row>
    <row r="238" spans="1:2" x14ac:dyDescent="0.25">
      <c r="A238" t="s">
        <v>534</v>
      </c>
      <c r="B238" t="s">
        <v>535</v>
      </c>
    </row>
    <row r="239" spans="1:2" x14ac:dyDescent="0.25">
      <c r="A239" t="s">
        <v>213</v>
      </c>
    </row>
    <row r="240" spans="1:2" x14ac:dyDescent="0.25">
      <c r="A240" t="s">
        <v>214</v>
      </c>
    </row>
    <row r="241" spans="1:2" x14ac:dyDescent="0.25">
      <c r="A241" t="s">
        <v>536</v>
      </c>
      <c r="B241" t="s">
        <v>537</v>
      </c>
    </row>
    <row r="242" spans="1:2" x14ac:dyDescent="0.25">
      <c r="A242" t="s">
        <v>538</v>
      </c>
      <c r="B242" t="s">
        <v>539</v>
      </c>
    </row>
    <row r="243" spans="1:2" x14ac:dyDescent="0.25">
      <c r="A243" t="s">
        <v>215</v>
      </c>
      <c r="B243" t="s">
        <v>216</v>
      </c>
    </row>
    <row r="244" spans="1:2" x14ac:dyDescent="0.25">
      <c r="A244" t="s">
        <v>540</v>
      </c>
      <c r="B244" t="s">
        <v>216</v>
      </c>
    </row>
    <row r="245" spans="1:2" x14ac:dyDescent="0.25">
      <c r="A245" t="s">
        <v>541</v>
      </c>
      <c r="B245" t="s">
        <v>542</v>
      </c>
    </row>
    <row r="246" spans="1:2" x14ac:dyDescent="0.25">
      <c r="A246" t="s">
        <v>217</v>
      </c>
    </row>
    <row r="247" spans="1:2" x14ac:dyDescent="0.25">
      <c r="A247" t="s">
        <v>543</v>
      </c>
      <c r="B247" t="s">
        <v>544</v>
      </c>
    </row>
    <row r="248" spans="1:2" x14ac:dyDescent="0.25">
      <c r="A248" t="s">
        <v>545</v>
      </c>
    </row>
    <row r="249" spans="1:2" x14ac:dyDescent="0.25">
      <c r="A249" t="s">
        <v>218</v>
      </c>
      <c r="B249" t="s">
        <v>219</v>
      </c>
    </row>
    <row r="250" spans="1:2" x14ac:dyDescent="0.25">
      <c r="A250" t="s">
        <v>546</v>
      </c>
      <c r="B250" t="s">
        <v>546</v>
      </c>
    </row>
    <row r="251" spans="1:2" x14ac:dyDescent="0.25">
      <c r="A251" t="s">
        <v>220</v>
      </c>
      <c r="B251" t="s">
        <v>221</v>
      </c>
    </row>
    <row r="252" spans="1:2" x14ac:dyDescent="0.25">
      <c r="A252" t="s">
        <v>224</v>
      </c>
      <c r="B252" t="s">
        <v>224</v>
      </c>
    </row>
    <row r="253" spans="1:2" x14ac:dyDescent="0.25">
      <c r="A253" t="s">
        <v>225</v>
      </c>
      <c r="B253" t="s">
        <v>225</v>
      </c>
    </row>
    <row r="254" spans="1:2" x14ac:dyDescent="0.25">
      <c r="A254" t="s">
        <v>226</v>
      </c>
      <c r="B254" t="s">
        <v>227</v>
      </c>
    </row>
    <row r="255" spans="1:2" x14ac:dyDescent="0.25">
      <c r="A255" t="s">
        <v>228</v>
      </c>
      <c r="B255" t="s">
        <v>229</v>
      </c>
    </row>
    <row r="256" spans="1:2" x14ac:dyDescent="0.25">
      <c r="A256" t="s">
        <v>231</v>
      </c>
      <c r="B256" t="s">
        <v>232</v>
      </c>
    </row>
    <row r="257" spans="1:2" x14ac:dyDescent="0.25">
      <c r="A257" t="s">
        <v>235</v>
      </c>
    </row>
    <row r="258" spans="1:2" x14ac:dyDescent="0.25">
      <c r="A258" t="s">
        <v>236</v>
      </c>
    </row>
    <row r="259" spans="1:2" x14ac:dyDescent="0.25">
      <c r="A259" t="s">
        <v>237</v>
      </c>
      <c r="B259" t="s">
        <v>238</v>
      </c>
    </row>
    <row r="260" spans="1:2" x14ac:dyDescent="0.25">
      <c r="A260" t="s">
        <v>239</v>
      </c>
    </row>
    <row r="261" spans="1:2" x14ac:dyDescent="0.25">
      <c r="A261" t="s">
        <v>240</v>
      </c>
    </row>
    <row r="262" spans="1:2" x14ac:dyDescent="0.25">
      <c r="A262" t="s">
        <v>547</v>
      </c>
    </row>
    <row r="263" spans="1:2" x14ac:dyDescent="0.25">
      <c r="A263" t="s">
        <v>548</v>
      </c>
    </row>
    <row r="264" spans="1:2" x14ac:dyDescent="0.25">
      <c r="A264" t="s">
        <v>241</v>
      </c>
      <c r="B264" t="s">
        <v>242</v>
      </c>
    </row>
    <row r="265" spans="1:2" x14ac:dyDescent="0.25">
      <c r="A265" t="s">
        <v>549</v>
      </c>
      <c r="B265" t="s">
        <v>549</v>
      </c>
    </row>
    <row r="266" spans="1:2" x14ac:dyDescent="0.25">
      <c r="A266" t="s">
        <v>550</v>
      </c>
      <c r="B266" t="s">
        <v>550</v>
      </c>
    </row>
    <row r="267" spans="1:2" x14ac:dyDescent="0.25">
      <c r="A267" t="s">
        <v>551</v>
      </c>
      <c r="B267" t="s">
        <v>551</v>
      </c>
    </row>
    <row r="268" spans="1:2" x14ac:dyDescent="0.25">
      <c r="A268" t="s">
        <v>552</v>
      </c>
      <c r="B268" t="s">
        <v>552</v>
      </c>
    </row>
    <row r="269" spans="1:2" x14ac:dyDescent="0.25">
      <c r="A269" t="s">
        <v>243</v>
      </c>
      <c r="B269" t="s">
        <v>243</v>
      </c>
    </row>
    <row r="270" spans="1:2" x14ac:dyDescent="0.25">
      <c r="A270" t="s">
        <v>244</v>
      </c>
      <c r="B270" t="s">
        <v>244</v>
      </c>
    </row>
    <row r="271" spans="1:2" x14ac:dyDescent="0.25">
      <c r="A271" t="s">
        <v>245</v>
      </c>
      <c r="B271" t="s">
        <v>245</v>
      </c>
    </row>
    <row r="272" spans="1:2" x14ac:dyDescent="0.25">
      <c r="A272" t="s">
        <v>246</v>
      </c>
    </row>
    <row r="273" spans="1:2" x14ac:dyDescent="0.25">
      <c r="A273" t="s">
        <v>247</v>
      </c>
      <c r="B273" t="s">
        <v>248</v>
      </c>
    </row>
    <row r="274" spans="1:2" x14ac:dyDescent="0.25">
      <c r="A274" t="s">
        <v>553</v>
      </c>
      <c r="B274" t="s">
        <v>554</v>
      </c>
    </row>
    <row r="275" spans="1:2" x14ac:dyDescent="0.25">
      <c r="A275" t="s">
        <v>555</v>
      </c>
      <c r="B275" t="s">
        <v>555</v>
      </c>
    </row>
    <row r="276" spans="1:2" x14ac:dyDescent="0.25">
      <c r="A276" t="s">
        <v>249</v>
      </c>
      <c r="B276" t="s">
        <v>249</v>
      </c>
    </row>
    <row r="277" spans="1:2" x14ac:dyDescent="0.25">
      <c r="A277" t="s">
        <v>556</v>
      </c>
      <c r="B277" t="s">
        <v>556</v>
      </c>
    </row>
    <row r="278" spans="1:2" x14ac:dyDescent="0.25">
      <c r="A278" t="s">
        <v>250</v>
      </c>
      <c r="B278" t="s">
        <v>251</v>
      </c>
    </row>
    <row r="279" spans="1:2" x14ac:dyDescent="0.25">
      <c r="A279" t="s">
        <v>252</v>
      </c>
      <c r="B279" t="s">
        <v>253</v>
      </c>
    </row>
    <row r="280" spans="1:2" x14ac:dyDescent="0.25">
      <c r="A280" t="s">
        <v>254</v>
      </c>
      <c r="B280" t="s">
        <v>255</v>
      </c>
    </row>
    <row r="281" spans="1:2" x14ac:dyDescent="0.25">
      <c r="A281" t="s">
        <v>256</v>
      </c>
      <c r="B281" t="s">
        <v>257</v>
      </c>
    </row>
    <row r="282" spans="1:2" x14ac:dyDescent="0.25">
      <c r="A282" t="s">
        <v>557</v>
      </c>
    </row>
    <row r="283" spans="1:2" x14ac:dyDescent="0.25">
      <c r="A283" t="s">
        <v>558</v>
      </c>
    </row>
    <row r="284" spans="1:2" x14ac:dyDescent="0.25">
      <c r="A284" t="s">
        <v>559</v>
      </c>
    </row>
    <row r="285" spans="1:2" x14ac:dyDescent="0.25">
      <c r="A285" t="s">
        <v>560</v>
      </c>
    </row>
    <row r="286" spans="1:2" x14ac:dyDescent="0.25">
      <c r="A286" t="s">
        <v>258</v>
      </c>
      <c r="B286" t="s">
        <v>258</v>
      </c>
    </row>
    <row r="287" spans="1:2" x14ac:dyDescent="0.25">
      <c r="A287" t="s">
        <v>259</v>
      </c>
      <c r="B287" t="s">
        <v>260</v>
      </c>
    </row>
    <row r="288" spans="1:2" x14ac:dyDescent="0.25">
      <c r="A288" t="s">
        <v>261</v>
      </c>
      <c r="B288" t="s">
        <v>261</v>
      </c>
    </row>
    <row r="289" spans="1:2" x14ac:dyDescent="0.25">
      <c r="A289" t="s">
        <v>262</v>
      </c>
      <c r="B289" t="s">
        <v>262</v>
      </c>
    </row>
    <row r="290" spans="1:2" x14ac:dyDescent="0.25">
      <c r="A290" t="s">
        <v>263</v>
      </c>
      <c r="B290" t="s">
        <v>264</v>
      </c>
    </row>
    <row r="291" spans="1:2" x14ac:dyDescent="0.25">
      <c r="A291" t="s">
        <v>265</v>
      </c>
      <c r="B291" t="s">
        <v>266</v>
      </c>
    </row>
    <row r="292" spans="1:2" x14ac:dyDescent="0.25">
      <c r="A292" t="s">
        <v>267</v>
      </c>
      <c r="B292" t="s">
        <v>268</v>
      </c>
    </row>
    <row r="293" spans="1:2" x14ac:dyDescent="0.25">
      <c r="A293" t="s">
        <v>269</v>
      </c>
      <c r="B293" t="s">
        <v>270</v>
      </c>
    </row>
    <row r="294" spans="1:2" x14ac:dyDescent="0.25">
      <c r="A294" t="s">
        <v>271</v>
      </c>
      <c r="B294" t="s">
        <v>272</v>
      </c>
    </row>
    <row r="295" spans="1:2" x14ac:dyDescent="0.25">
      <c r="A295" t="s">
        <v>273</v>
      </c>
      <c r="B295" t="s">
        <v>274</v>
      </c>
    </row>
    <row r="296" spans="1:2" x14ac:dyDescent="0.25">
      <c r="A296" t="s">
        <v>275</v>
      </c>
      <c r="B296" t="s">
        <v>276</v>
      </c>
    </row>
    <row r="297" spans="1:2" x14ac:dyDescent="0.25">
      <c r="A297" t="s">
        <v>277</v>
      </c>
      <c r="B297" t="s">
        <v>278</v>
      </c>
    </row>
    <row r="298" spans="1:2" x14ac:dyDescent="0.25">
      <c r="A298" t="s">
        <v>279</v>
      </c>
      <c r="B298" t="s">
        <v>280</v>
      </c>
    </row>
    <row r="299" spans="1:2" x14ac:dyDescent="0.25">
      <c r="A299" t="s">
        <v>281</v>
      </c>
      <c r="B299" t="s">
        <v>282</v>
      </c>
    </row>
    <row r="300" spans="1:2" x14ac:dyDescent="0.25">
      <c r="A300" t="s">
        <v>283</v>
      </c>
      <c r="B300" t="s">
        <v>284</v>
      </c>
    </row>
    <row r="301" spans="1:2" x14ac:dyDescent="0.25">
      <c r="A301" t="s">
        <v>285</v>
      </c>
      <c r="B301" t="s">
        <v>286</v>
      </c>
    </row>
    <row r="302" spans="1:2" x14ac:dyDescent="0.25">
      <c r="A302" t="s">
        <v>561</v>
      </c>
      <c r="B302" t="s">
        <v>561</v>
      </c>
    </row>
    <row r="303" spans="1:2" x14ac:dyDescent="0.25">
      <c r="A303" t="s">
        <v>562</v>
      </c>
      <c r="B303" t="s">
        <v>562</v>
      </c>
    </row>
    <row r="304" spans="1:2" x14ac:dyDescent="0.25">
      <c r="A304" t="s">
        <v>563</v>
      </c>
      <c r="B304" t="s">
        <v>563</v>
      </c>
    </row>
    <row r="305" spans="1:2" x14ac:dyDescent="0.25">
      <c r="A305" t="s">
        <v>287</v>
      </c>
      <c r="B305" t="s">
        <v>288</v>
      </c>
    </row>
    <row r="306" spans="1:2" x14ac:dyDescent="0.25">
      <c r="A306" t="s">
        <v>289</v>
      </c>
      <c r="B306" t="s">
        <v>289</v>
      </c>
    </row>
    <row r="307" spans="1:2" x14ac:dyDescent="0.25">
      <c r="A307" t="s">
        <v>290</v>
      </c>
      <c r="B307" t="s">
        <v>290</v>
      </c>
    </row>
    <row r="308" spans="1:2" x14ac:dyDescent="0.25">
      <c r="A308" t="s">
        <v>564</v>
      </c>
      <c r="B308" t="s">
        <v>564</v>
      </c>
    </row>
    <row r="309" spans="1:2" x14ac:dyDescent="0.25">
      <c r="A309" t="s">
        <v>291</v>
      </c>
    </row>
    <row r="310" spans="1:2" x14ac:dyDescent="0.25">
      <c r="A310" t="s">
        <v>292</v>
      </c>
      <c r="B310" t="s">
        <v>293</v>
      </c>
    </row>
    <row r="311" spans="1:2" x14ac:dyDescent="0.25">
      <c r="A311" t="s">
        <v>565</v>
      </c>
    </row>
    <row r="312" spans="1:2" x14ac:dyDescent="0.25">
      <c r="A312" t="s">
        <v>566</v>
      </c>
      <c r="B312" t="s">
        <v>566</v>
      </c>
    </row>
    <row r="313" spans="1:2" x14ac:dyDescent="0.25">
      <c r="A313" t="s">
        <v>294</v>
      </c>
      <c r="B313" t="s">
        <v>294</v>
      </c>
    </row>
    <row r="314" spans="1:2" x14ac:dyDescent="0.25">
      <c r="A314" t="s">
        <v>295</v>
      </c>
      <c r="B314" t="s">
        <v>295</v>
      </c>
    </row>
    <row r="315" spans="1:2" x14ac:dyDescent="0.25">
      <c r="A315" t="s">
        <v>567</v>
      </c>
      <c r="B315" t="s">
        <v>568</v>
      </c>
    </row>
    <row r="316" spans="1:2" x14ac:dyDescent="0.25">
      <c r="A316" t="s">
        <v>296</v>
      </c>
    </row>
    <row r="317" spans="1:2" x14ac:dyDescent="0.25">
      <c r="A317" t="s">
        <v>569</v>
      </c>
      <c r="B317" t="s">
        <v>569</v>
      </c>
    </row>
    <row r="318" spans="1:2" x14ac:dyDescent="0.25">
      <c r="A318" t="s">
        <v>570</v>
      </c>
      <c r="B318" t="s">
        <v>571</v>
      </c>
    </row>
    <row r="319" spans="1:2" x14ac:dyDescent="0.25">
      <c r="A319" t="s">
        <v>572</v>
      </c>
      <c r="B319" t="s">
        <v>573</v>
      </c>
    </row>
    <row r="320" spans="1:2" x14ac:dyDescent="0.25">
      <c r="A320" t="s">
        <v>297</v>
      </c>
      <c r="B320" t="s">
        <v>298</v>
      </c>
    </row>
    <row r="321" spans="1:2" x14ac:dyDescent="0.25">
      <c r="A321" t="s">
        <v>299</v>
      </c>
      <c r="B321" t="s">
        <v>300</v>
      </c>
    </row>
    <row r="322" spans="1:2" x14ac:dyDescent="0.25">
      <c r="A322" t="s">
        <v>301</v>
      </c>
      <c r="B322" t="s">
        <v>302</v>
      </c>
    </row>
    <row r="323" spans="1:2" x14ac:dyDescent="0.25">
      <c r="A323" t="s">
        <v>303</v>
      </c>
      <c r="B323" t="s">
        <v>303</v>
      </c>
    </row>
    <row r="324" spans="1:2" x14ac:dyDescent="0.25">
      <c r="A324" t="s">
        <v>304</v>
      </c>
      <c r="B324" t="s">
        <v>304</v>
      </c>
    </row>
    <row r="325" spans="1:2" x14ac:dyDescent="0.25">
      <c r="A325" t="s">
        <v>305</v>
      </c>
      <c r="B325" t="s">
        <v>305</v>
      </c>
    </row>
    <row r="326" spans="1:2" x14ac:dyDescent="0.25">
      <c r="A326" t="s">
        <v>574</v>
      </c>
    </row>
    <row r="327" spans="1:2" x14ac:dyDescent="0.25">
      <c r="A327" t="s">
        <v>306</v>
      </c>
      <c r="B327" t="s">
        <v>307</v>
      </c>
    </row>
    <row r="328" spans="1:2" x14ac:dyDescent="0.25">
      <c r="A328" t="s">
        <v>575</v>
      </c>
      <c r="B328" t="s">
        <v>576</v>
      </c>
    </row>
    <row r="329" spans="1:2" x14ac:dyDescent="0.25">
      <c r="A329" t="s">
        <v>308</v>
      </c>
      <c r="B329" t="s">
        <v>309</v>
      </c>
    </row>
    <row r="330" spans="1:2" x14ac:dyDescent="0.25">
      <c r="A330" t="s">
        <v>577</v>
      </c>
      <c r="B330" t="s">
        <v>578</v>
      </c>
    </row>
    <row r="331" spans="1:2" x14ac:dyDescent="0.25">
      <c r="A331" t="s">
        <v>579</v>
      </c>
      <c r="B331" t="s">
        <v>579</v>
      </c>
    </row>
    <row r="332" spans="1:2" x14ac:dyDescent="0.25">
      <c r="A332" t="s">
        <v>310</v>
      </c>
      <c r="B332" t="s">
        <v>311</v>
      </c>
    </row>
    <row r="333" spans="1:2" x14ac:dyDescent="0.25">
      <c r="A333" t="s">
        <v>312</v>
      </c>
      <c r="B333" t="s">
        <v>313</v>
      </c>
    </row>
    <row r="334" spans="1:2" x14ac:dyDescent="0.25">
      <c r="A334" t="s">
        <v>314</v>
      </c>
      <c r="B334" t="s">
        <v>315</v>
      </c>
    </row>
    <row r="335" spans="1:2" x14ac:dyDescent="0.25">
      <c r="A335" t="s">
        <v>318</v>
      </c>
      <c r="B335" t="s">
        <v>319</v>
      </c>
    </row>
    <row r="336" spans="1:2" x14ac:dyDescent="0.25">
      <c r="A336" t="s">
        <v>322</v>
      </c>
      <c r="B336" t="s">
        <v>323</v>
      </c>
    </row>
    <row r="337" spans="1:2" x14ac:dyDescent="0.25">
      <c r="A337" t="s">
        <v>324</v>
      </c>
      <c r="B337" t="s">
        <v>325</v>
      </c>
    </row>
    <row r="338" spans="1:2" x14ac:dyDescent="0.25">
      <c r="A338" t="s">
        <v>580</v>
      </c>
      <c r="B338" t="s">
        <v>325</v>
      </c>
    </row>
    <row r="339" spans="1:2" x14ac:dyDescent="0.25">
      <c r="A339" t="s">
        <v>326</v>
      </c>
      <c r="B339" t="s">
        <v>327</v>
      </c>
    </row>
    <row r="340" spans="1:2" x14ac:dyDescent="0.25">
      <c r="A340" t="s">
        <v>581</v>
      </c>
      <c r="B340" t="s">
        <v>582</v>
      </c>
    </row>
    <row r="341" spans="1:2" x14ac:dyDescent="0.25">
      <c r="A341" t="s">
        <v>328</v>
      </c>
      <c r="B341" t="s">
        <v>329</v>
      </c>
    </row>
    <row r="342" spans="1:2" x14ac:dyDescent="0.25">
      <c r="A342" t="s">
        <v>330</v>
      </c>
      <c r="B342" t="s">
        <v>331</v>
      </c>
    </row>
    <row r="343" spans="1:2" x14ac:dyDescent="0.25">
      <c r="A343" t="s">
        <v>583</v>
      </c>
      <c r="B343" t="s">
        <v>584</v>
      </c>
    </row>
    <row r="344" spans="1:2" x14ac:dyDescent="0.25">
      <c r="A344" t="s">
        <v>585</v>
      </c>
      <c r="B344" t="s">
        <v>586</v>
      </c>
    </row>
    <row r="345" spans="1:2" x14ac:dyDescent="0.25">
      <c r="A345" t="s">
        <v>334</v>
      </c>
      <c r="B345" t="s">
        <v>335</v>
      </c>
    </row>
    <row r="346" spans="1:2" x14ac:dyDescent="0.25">
      <c r="A346" t="s">
        <v>587</v>
      </c>
      <c r="B346" t="s">
        <v>588</v>
      </c>
    </row>
    <row r="347" spans="1:2" x14ac:dyDescent="0.25">
      <c r="A347" t="s">
        <v>589</v>
      </c>
      <c r="B347" t="s">
        <v>84</v>
      </c>
    </row>
    <row r="348" spans="1:2" x14ac:dyDescent="0.25">
      <c r="A348" t="s">
        <v>590</v>
      </c>
    </row>
    <row r="349" spans="1:2" x14ac:dyDescent="0.25">
      <c r="A349" t="s">
        <v>336</v>
      </c>
    </row>
    <row r="350" spans="1:2" x14ac:dyDescent="0.25">
      <c r="A350" t="s">
        <v>591</v>
      </c>
    </row>
    <row r="351" spans="1:2" x14ac:dyDescent="0.25">
      <c r="A351" t="s">
        <v>337</v>
      </c>
    </row>
    <row r="352" spans="1:2" x14ac:dyDescent="0.25">
      <c r="A352" t="s">
        <v>592</v>
      </c>
    </row>
    <row r="353" spans="1:2" x14ac:dyDescent="0.25">
      <c r="A353" t="s">
        <v>593</v>
      </c>
    </row>
    <row r="354" spans="1:2" x14ac:dyDescent="0.25">
      <c r="A354" t="s">
        <v>343</v>
      </c>
      <c r="B354" t="s">
        <v>344</v>
      </c>
    </row>
    <row r="355" spans="1:2" x14ac:dyDescent="0.25">
      <c r="A355" t="s">
        <v>345</v>
      </c>
      <c r="B355" t="s">
        <v>346</v>
      </c>
    </row>
    <row r="356" spans="1:2" x14ac:dyDescent="0.25">
      <c r="A356" t="s">
        <v>347</v>
      </c>
      <c r="B356" t="s">
        <v>348</v>
      </c>
    </row>
    <row r="357" spans="1:2" x14ac:dyDescent="0.25">
      <c r="A357" t="s">
        <v>594</v>
      </c>
      <c r="B357" t="s">
        <v>595</v>
      </c>
    </row>
    <row r="358" spans="1:2" x14ac:dyDescent="0.25">
      <c r="A358" t="s">
        <v>596</v>
      </c>
    </row>
    <row r="359" spans="1:2" x14ac:dyDescent="0.25">
      <c r="A359" t="s">
        <v>349</v>
      </c>
      <c r="B359" t="s">
        <v>350</v>
      </c>
    </row>
    <row r="360" spans="1:2" x14ac:dyDescent="0.25">
      <c r="A360" t="s">
        <v>597</v>
      </c>
      <c r="B360" t="s">
        <v>427</v>
      </c>
    </row>
    <row r="361" spans="1:2" x14ac:dyDescent="0.25">
      <c r="A361" t="s">
        <v>351</v>
      </c>
      <c r="B361" t="s">
        <v>352</v>
      </c>
    </row>
    <row r="362" spans="1:2" x14ac:dyDescent="0.25">
      <c r="A362" t="s">
        <v>353</v>
      </c>
    </row>
    <row r="363" spans="1:2" x14ac:dyDescent="0.25">
      <c r="A363" t="s">
        <v>354</v>
      </c>
    </row>
    <row r="364" spans="1:2" x14ac:dyDescent="0.25">
      <c r="A364" t="s">
        <v>355</v>
      </c>
    </row>
    <row r="365" spans="1:2" x14ac:dyDescent="0.25">
      <c r="A365" t="s">
        <v>356</v>
      </c>
      <c r="B365" t="s">
        <v>216</v>
      </c>
    </row>
    <row r="366" spans="1:2" x14ac:dyDescent="0.25">
      <c r="A366" t="s">
        <v>598</v>
      </c>
    </row>
    <row r="367" spans="1:2" x14ac:dyDescent="0.25">
      <c r="A367" t="s">
        <v>599</v>
      </c>
      <c r="B367" t="s">
        <v>599</v>
      </c>
    </row>
    <row r="368" spans="1:2" x14ac:dyDescent="0.25">
      <c r="A368" t="s">
        <v>600</v>
      </c>
      <c r="B368" t="s">
        <v>600</v>
      </c>
    </row>
    <row r="369" spans="1:2" x14ac:dyDescent="0.25">
      <c r="A369" t="s">
        <v>601</v>
      </c>
      <c r="B369" t="s">
        <v>601</v>
      </c>
    </row>
    <row r="370" spans="1:2" x14ac:dyDescent="0.25">
      <c r="A370" t="s">
        <v>357</v>
      </c>
      <c r="B370" t="s">
        <v>357</v>
      </c>
    </row>
    <row r="371" spans="1:2" x14ac:dyDescent="0.25">
      <c r="A371" t="s">
        <v>602</v>
      </c>
      <c r="B371" t="s">
        <v>602</v>
      </c>
    </row>
    <row r="372" spans="1:2" x14ac:dyDescent="0.25">
      <c r="A372" t="s">
        <v>603</v>
      </c>
    </row>
    <row r="373" spans="1:2" x14ac:dyDescent="0.25">
      <c r="A373" t="s">
        <v>604</v>
      </c>
    </row>
    <row r="374" spans="1:2" x14ac:dyDescent="0.25">
      <c r="A374" t="s">
        <v>605</v>
      </c>
    </row>
    <row r="375" spans="1:2" x14ac:dyDescent="0.25">
      <c r="A375" t="s">
        <v>606</v>
      </c>
    </row>
    <row r="376" spans="1:2" x14ac:dyDescent="0.25">
      <c r="A376" t="s">
        <v>607</v>
      </c>
    </row>
    <row r="377" spans="1:2" x14ac:dyDescent="0.25">
      <c r="A377" t="s">
        <v>608</v>
      </c>
    </row>
    <row r="378" spans="1:2" x14ac:dyDescent="0.25">
      <c r="A378" t="s">
        <v>358</v>
      </c>
    </row>
    <row r="379" spans="1:2" x14ac:dyDescent="0.25">
      <c r="A379" t="s">
        <v>609</v>
      </c>
    </row>
    <row r="380" spans="1:2" x14ac:dyDescent="0.25">
      <c r="A380" t="s">
        <v>610</v>
      </c>
      <c r="B380" t="s">
        <v>611</v>
      </c>
    </row>
    <row r="381" spans="1:2" x14ac:dyDescent="0.25">
      <c r="A381" t="s">
        <v>612</v>
      </c>
      <c r="B381" t="s">
        <v>613</v>
      </c>
    </row>
    <row r="382" spans="1:2" x14ac:dyDescent="0.25">
      <c r="A382" t="s">
        <v>614</v>
      </c>
      <c r="B382" t="s">
        <v>615</v>
      </c>
    </row>
    <row r="383" spans="1:2" x14ac:dyDescent="0.25">
      <c r="A383" t="s">
        <v>616</v>
      </c>
      <c r="B383" t="s">
        <v>617</v>
      </c>
    </row>
    <row r="384" spans="1:2" x14ac:dyDescent="0.25">
      <c r="A384" t="s">
        <v>618</v>
      </c>
    </row>
    <row r="385" spans="1:2" x14ac:dyDescent="0.25">
      <c r="A385" t="s">
        <v>359</v>
      </c>
    </row>
    <row r="386" spans="1:2" x14ac:dyDescent="0.25">
      <c r="A386" t="s">
        <v>619</v>
      </c>
    </row>
    <row r="387" spans="1:2" x14ac:dyDescent="0.25">
      <c r="A387" t="s">
        <v>620</v>
      </c>
      <c r="B387" t="s">
        <v>621</v>
      </c>
    </row>
    <row r="388" spans="1:2" x14ac:dyDescent="0.25">
      <c r="A388" t="s">
        <v>622</v>
      </c>
      <c r="B388" t="s">
        <v>623</v>
      </c>
    </row>
    <row r="389" spans="1:2" x14ac:dyDescent="0.25">
      <c r="A389" t="s">
        <v>624</v>
      </c>
      <c r="B389" t="s">
        <v>625</v>
      </c>
    </row>
    <row r="390" spans="1:2" x14ac:dyDescent="0.25">
      <c r="A390" t="s">
        <v>626</v>
      </c>
      <c r="B390" t="s">
        <v>627</v>
      </c>
    </row>
    <row r="391" spans="1:2" x14ac:dyDescent="0.25">
      <c r="A391" t="s">
        <v>628</v>
      </c>
      <c r="B391" t="s">
        <v>629</v>
      </c>
    </row>
    <row r="392" spans="1:2" x14ac:dyDescent="0.25">
      <c r="A392" t="s">
        <v>360</v>
      </c>
      <c r="B392" t="s">
        <v>361</v>
      </c>
    </row>
    <row r="393" spans="1:2" x14ac:dyDescent="0.25">
      <c r="A393" t="s">
        <v>630</v>
      </c>
      <c r="B393" t="s">
        <v>631</v>
      </c>
    </row>
    <row r="394" spans="1:2" x14ac:dyDescent="0.25">
      <c r="A394" t="s">
        <v>632</v>
      </c>
      <c r="B394" t="s">
        <v>633</v>
      </c>
    </row>
    <row r="395" spans="1:2" x14ac:dyDescent="0.25">
      <c r="A395" t="s">
        <v>634</v>
      </c>
    </row>
    <row r="396" spans="1:2" x14ac:dyDescent="0.25">
      <c r="A396" t="s">
        <v>635</v>
      </c>
    </row>
    <row r="397" spans="1:2" x14ac:dyDescent="0.25">
      <c r="A397" t="s">
        <v>636</v>
      </c>
      <c r="B397" t="s">
        <v>637</v>
      </c>
    </row>
    <row r="398" spans="1:2" x14ac:dyDescent="0.25">
      <c r="A398" t="s">
        <v>638</v>
      </c>
      <c r="B398" t="s">
        <v>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229F-E3EA-442A-809A-364CBB32564D}">
  <dimension ref="A1:I4"/>
  <sheetViews>
    <sheetView tabSelected="1" workbookViewId="0">
      <selection activeCell="H1" sqref="H1"/>
    </sheetView>
  </sheetViews>
  <sheetFormatPr defaultRowHeight="15" x14ac:dyDescent="0.25"/>
  <cols>
    <col min="1" max="1" width="25.7109375" bestFit="1" customWidth="1"/>
    <col min="2" max="2" width="38.5703125" customWidth="1"/>
    <col min="4" max="4" width="26" bestFit="1" customWidth="1"/>
    <col min="5" max="5" width="13.7109375" bestFit="1" customWidth="1"/>
    <col min="6" max="6" width="17.85546875" bestFit="1" customWidth="1"/>
    <col min="8" max="8" width="42.42578125" bestFit="1" customWidth="1"/>
    <col min="9" max="9" width="18.140625" bestFit="1" customWidth="1"/>
  </cols>
  <sheetData>
    <row r="1" spans="1:9" ht="16.5" x14ac:dyDescent="0.3">
      <c r="A1" s="5" t="s">
        <v>674</v>
      </c>
      <c r="B1" s="5" t="s">
        <v>675</v>
      </c>
      <c r="C1" s="5"/>
      <c r="D1" s="12" t="s">
        <v>678</v>
      </c>
      <c r="E1" s="5" t="s">
        <v>679</v>
      </c>
      <c r="F1" s="5" t="s">
        <v>677</v>
      </c>
      <c r="H1" s="5" t="s">
        <v>681</v>
      </c>
      <c r="I1" s="5" t="s">
        <v>682</v>
      </c>
    </row>
    <row r="2" spans="1:9" x14ac:dyDescent="0.25">
      <c r="A2" t="s">
        <v>676</v>
      </c>
      <c r="B2" s="10" t="s">
        <v>678</v>
      </c>
      <c r="D2" s="11">
        <v>1</v>
      </c>
      <c r="E2" s="11">
        <f>1 / 29.5735296</f>
        <v>3.3814022658965943E-2</v>
      </c>
      <c r="F2" s="11">
        <f>1 / (29.5735296 / 100)</f>
        <v>3.3814022658965945</v>
      </c>
      <c r="H2" t="s">
        <v>683</v>
      </c>
      <c r="I2" s="4" t="s">
        <v>367</v>
      </c>
    </row>
    <row r="3" spans="1:9" x14ac:dyDescent="0.25">
      <c r="A3" t="s">
        <v>680</v>
      </c>
      <c r="B3" s="11">
        <v>0</v>
      </c>
      <c r="H3" t="s">
        <v>684</v>
      </c>
      <c r="I3" s="4" t="s">
        <v>367</v>
      </c>
    </row>
    <row r="4" spans="1:9" x14ac:dyDescent="0.25">
      <c r="H4" t="s">
        <v>685</v>
      </c>
      <c r="I4" t="s">
        <v>26</v>
      </c>
    </row>
  </sheetData>
  <dataValidations count="1">
    <dataValidation type="list" allowBlank="1" showInputMessage="1" showErrorMessage="1" sqref="B2" xr:uid="{C5A0D655-FFA3-4DC8-9CA5-A4380E37F444}">
      <formula1>$D$1:$F$1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656CBF-F2EE-4D4C-94D8-4CDF40062885}">
          <x14:formula1>
            <xm:f>OrderAdditives!$A:$A</xm:f>
          </x14:formula1>
          <xm:sqref>I2:I3</xm:sqref>
        </x14:dataValidation>
        <x14:dataValidation type="list" allowBlank="1" showInputMessage="1" showErrorMessage="1" xr:uid="{2A04EA3F-3286-42FE-A675-C982CF07CD44}">
          <x14:formula1>
            <xm:f>'Order Base'!$A:$A</xm:f>
          </x14:formula1>
          <xm:sqref>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Guardian</vt:lpstr>
      <vt:lpstr>Patient</vt:lpstr>
      <vt:lpstr>Order</vt:lpstr>
      <vt:lpstr>Order Base</vt:lpstr>
      <vt:lpstr>OrderAdditives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Jeasson Seroy</dc:creator>
  <cp:lastModifiedBy>Jeasson Seroy</cp:lastModifiedBy>
  <dcterms:created xsi:type="dcterms:W3CDTF">2025-05-25T07:35:26Z</dcterms:created>
  <dcterms:modified xsi:type="dcterms:W3CDTF">2026-02-23T20:26:49Z</dcterms:modified>
</cp:coreProperties>
</file>