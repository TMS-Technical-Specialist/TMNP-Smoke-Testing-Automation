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5F52975E-E935-4ADD-9C78-009A04D0EDF9}" xr6:coauthVersionLast="47" xr6:coauthVersionMax="47" xr10:uidLastSave="{00000000-0000-0000-0000-000000000000}"/>
  <bookViews>
    <workbookView xWindow="-108" yWindow="-108" windowWidth="23256" windowHeight="13896" activeTab="1" xr2:uid="{6CD556FE-C62F-4787-89A0-8DF20AA637B2}"/>
  </bookViews>
  <sheets>
    <sheet name="Test Result" sheetId="1" r:id="rId1"/>
    <sheet name="Test Cases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sharedStrings.xml><?xml version="1.0" encoding="utf-8"?>
<sst xmlns="http://schemas.openxmlformats.org/spreadsheetml/2006/main" count="1751" uniqueCount="593">
  <si>
    <t>Manage Patient</t>
  </si>
  <si>
    <t>Add Patient</t>
  </si>
  <si>
    <t>Edit Patient</t>
  </si>
  <si>
    <t>Manage Guardian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</si>
  <si>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</si>
  <si>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</si>
  <si>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</si>
  <si>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</si>
  <si>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</si>
  <si>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</si>
  <si>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</si>
  <si>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</si>
  <si>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t>Redirects to Add Guardian page.</t>
  </si>
  <si>
    <t>Step 3</t>
  </si>
  <si>
    <t>Step 4</t>
  </si>
  <si>
    <t>Step 5</t>
  </si>
  <si>
    <t>Fill up First Name and Last Name field</t>
  </si>
  <si>
    <t>First Name and Last Name field should be filled in.</t>
  </si>
  <si>
    <t>Step 6</t>
  </si>
  <si>
    <t>MRN field should be disabled / grayed out.</t>
  </si>
  <si>
    <t>Step 7</t>
  </si>
  <si>
    <t>Account Number field should be disabled / grayed out.</t>
  </si>
  <si>
    <t>Step 8</t>
  </si>
  <si>
    <t>Redirects to Guardians list page.</t>
  </si>
  <si>
    <t>Click on Clinical Management &gt; Manage Patients.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</si>
  <si>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</si>
  <si>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</si>
  <si>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</si>
  <si>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Fill up MRN and Account Number field</t>
  </si>
  <si>
    <t>Step 9</t>
  </si>
  <si>
    <t>Select guardian that we previously created</t>
  </si>
  <si>
    <t>Selected guardian should be the same identifier on the previously created guardian</t>
  </si>
  <si>
    <t>Step 10</t>
  </si>
  <si>
    <t>Redirects to Patient list page.</t>
  </si>
  <si>
    <t>Redirects to Edit Patient Order Page</t>
  </si>
  <si>
    <t>Select patient from the dropdown</t>
  </si>
  <si>
    <t>Correct patient should be selected</t>
  </si>
  <si>
    <t>EBM_display_name_short only should be selected</t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</si>
  <si>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</si>
  <si>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</si>
  <si>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</si>
  <si>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</si>
  <si>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</si>
  <si>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</si>
  <si>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</si>
  <si>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</si>
  <si>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</si>
  <si>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</si>
  <si>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</si>
  <si>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</si>
  <si>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</si>
  <si>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</si>
  <si>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</si>
  <si>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</si>
  <si>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</si>
  <si>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</si>
  <si>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</si>
  <si>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</si>
  <si>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</si>
  <si>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</si>
  <si>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</si>
  <si>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</si>
  <si>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</si>
  <si>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</si>
  <si>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</si>
  <si>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</si>
  <si>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</si>
  <si>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</si>
  <si>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</si>
  <si>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</si>
  <si>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</si>
  <si>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</si>
  <si>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</si>
  <si>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</si>
  <si>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</si>
  <si>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</si>
  <si>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</si>
  <si>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</si>
  <si>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</si>
  <si>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</si>
  <si>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</si>
  <si>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</si>
  <si>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</si>
  <si>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</si>
  <si>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</si>
  <si>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</si>
  <si>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</si>
  <si>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</si>
  <si>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</si>
  <si>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</si>
  <si>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</si>
  <si>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</si>
  <si>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</si>
  <si>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</si>
  <si>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</si>
  <si>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</si>
  <si>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</si>
  <si>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</si>
  <si>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</si>
  <si>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</si>
  <si>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</si>
  <si>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</si>
  <si>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</si>
  <si>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</si>
  <si>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</si>
  <si>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Discharge</t>
  </si>
  <si>
    <t>Patient Discharge</t>
  </si>
  <si>
    <t>Discharge Containers</t>
  </si>
  <si>
    <t>Bags</t>
  </si>
  <si>
    <t>UI Verification App Setting</t>
  </si>
  <si>
    <t>Feed Patient UI Verification</t>
  </si>
  <si>
    <t>Guardian</t>
  </si>
  <si>
    <r>
      <rPr>
        <sz val="11"/>
        <color theme="1"/>
        <rFont val="Calibri"/>
      </rPr>
      <t xml:space="preserve">Click on </t>
    </r>
    <r>
      <rPr>
        <b/>
        <sz val="11"/>
        <color rgb="FF000000"/>
        <rFont val="Calibri"/>
      </rPr>
      <t>Add Guardian</t>
    </r>
    <r>
      <rPr>
        <sz val="11"/>
        <color rgb="FF000000"/>
        <rFont val="Calibri"/>
      </rPr>
      <t xml:space="preserve"> button</t>
    </r>
  </si>
  <si>
    <r>
      <rPr>
        <sz val="11"/>
        <color theme="1"/>
        <rFont val="Calibri"/>
      </rPr>
      <t xml:space="preserve">Check </t>
    </r>
    <r>
      <rPr>
        <b/>
        <sz val="11"/>
        <color theme="1"/>
        <rFont val="Calibri"/>
      </rPr>
      <t>Automatically generate this ID</t>
    </r>
    <r>
      <rPr>
        <sz val="11"/>
        <color theme="1"/>
        <rFont val="Calibri"/>
      </rPr>
      <t xml:space="preserve"> after the MRN field.</t>
    </r>
  </si>
  <si>
    <r>
      <rPr>
        <sz val="11"/>
        <color theme="1"/>
        <rFont val="Calibri"/>
      </rPr>
      <t xml:space="preserve">Check </t>
    </r>
    <r>
      <rPr>
        <b/>
        <sz val="11"/>
        <color rgb="FF000000"/>
        <rFont val="Calibri"/>
      </rPr>
      <t>Automatically generate this ID</t>
    </r>
    <r>
      <rPr>
        <sz val="11"/>
        <color rgb="FF000000"/>
        <rFont val="Calibri"/>
      </rPr>
      <t xml:space="preserve"> after the Account Number field.</t>
    </r>
  </si>
  <si>
    <r>
      <rPr>
        <sz val="11"/>
        <color theme="1"/>
        <rFont val="Calibri"/>
      </rPr>
      <t xml:space="preserve">Click </t>
    </r>
    <r>
      <rPr>
        <b/>
        <sz val="11"/>
        <color rgb="FF000000"/>
        <rFont val="Calibri"/>
      </rPr>
      <t xml:space="preserve">Save </t>
    </r>
    <r>
      <rPr>
        <sz val="11"/>
        <color rgb="FF000000"/>
        <rFont val="Calibri"/>
      </rPr>
      <t>button.</t>
    </r>
  </si>
  <si>
    <t>Scenario:  Edit Guardian</t>
  </si>
  <si>
    <t xml:space="preserve">On Manage Guardians &gt; Choose a guardian and click on the options button beside Last Name &gt; Edit </t>
  </si>
  <si>
    <t>Edit Guardian page opens</t>
  </si>
  <si>
    <t>First Name and Last Name, MRN, Account Number Field</t>
  </si>
  <si>
    <t>All should have a value.</t>
  </si>
  <si>
    <t>Update First Name and Last Name</t>
  </si>
  <si>
    <t>First and Last Name should be updated</t>
  </si>
  <si>
    <t>Scenario:  View Guardian</t>
  </si>
  <si>
    <t>On Manage Guardians &gt; Choose a guardian and click on the options button beside Last Name &gt; View</t>
  </si>
  <si>
    <t>Guardian Information page opens</t>
  </si>
  <si>
    <r>
      <rPr>
        <sz val="11"/>
        <color theme="1"/>
        <rFont val="Calibri"/>
      </rPr>
      <t xml:space="preserve">Click on </t>
    </r>
    <r>
      <rPr>
        <b/>
        <sz val="11"/>
        <color theme="1"/>
        <rFont val="Calibri"/>
      </rPr>
      <t>Edit Guardian Information</t>
    </r>
    <r>
      <rPr>
        <sz val="11"/>
        <color theme="1"/>
        <rFont val="Calibri"/>
      </rPr>
      <t xml:space="preserve"> button</t>
    </r>
  </si>
  <si>
    <t>Redirects to Edit Guardian page.</t>
  </si>
  <si>
    <r>
      <rPr>
        <sz val="11"/>
        <color theme="1"/>
        <rFont val="Calibri"/>
      </rPr>
      <t xml:space="preserve">Click on </t>
    </r>
    <r>
      <rPr>
        <b/>
        <sz val="11"/>
        <color theme="1"/>
        <rFont val="Calibri"/>
      </rPr>
      <t>Print Guardian Label</t>
    </r>
    <r>
      <rPr>
        <sz val="11"/>
        <color theme="1"/>
        <rFont val="Calibri"/>
      </rPr>
      <t xml:space="preserve"> button</t>
    </r>
  </si>
  <si>
    <t>Print guardian Label page opens and a dropdown for printers option should display.</t>
  </si>
  <si>
    <r>
      <rPr>
        <sz val="11"/>
        <color theme="1"/>
        <rFont val="Calibri"/>
      </rPr>
      <t xml:space="preserve">Click on </t>
    </r>
    <r>
      <rPr>
        <b/>
        <sz val="11"/>
        <color theme="1"/>
        <rFont val="Calibri"/>
      </rPr>
      <t>Add Patient</t>
    </r>
    <r>
      <rPr>
        <sz val="11"/>
        <color theme="1"/>
        <rFont val="Calibri"/>
      </rPr>
      <t xml:space="preserve"> button</t>
    </r>
  </si>
  <si>
    <t>Redirects to Patients &gt; Edit Patient page</t>
  </si>
  <si>
    <t>Scenario:  Print Guardian</t>
  </si>
  <si>
    <t>On Manage Guardians &gt; Choose a guardian and click on the options button beside Last Name &gt; Print</t>
  </si>
  <si>
    <t xml:space="preserve">On Print Guardian Label page &gt; Go to Guardians Listing </t>
  </si>
  <si>
    <t>Scenario:  UI Verification</t>
  </si>
  <si>
    <r>
      <rPr>
        <sz val="11"/>
        <color theme="1"/>
        <rFont val="Aptos Narrow"/>
      </rPr>
      <t xml:space="preserve">Verify </t>
    </r>
    <r>
      <rPr>
        <b/>
        <sz val="11"/>
        <color theme="1"/>
        <rFont val="Aptos Narrow"/>
      </rPr>
      <t>MRN</t>
    </r>
    <r>
      <rPr>
        <sz val="11"/>
        <color theme="1"/>
        <rFont val="Aptos Narrow"/>
      </rPr>
      <t xml:space="preserve"> field UI text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</si>
  <si>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ui/text/mrn_number</t>
    </r>
    <r>
      <rPr>
        <sz val="11"/>
        <color theme="1"/>
        <rFont val="Arial"/>
      </rPr>
      <t xml:space="preserve"> app settings.</t>
    </r>
  </si>
  <si>
    <r>
      <rPr>
        <sz val="11"/>
        <color theme="1"/>
        <rFont val="Aptos Narrow"/>
      </rPr>
      <t xml:space="preserve">Verify </t>
    </r>
    <r>
      <rPr>
        <b/>
        <sz val="11"/>
        <color theme="1"/>
        <rFont val="Aptos Narrow"/>
      </rPr>
      <t>Account Number</t>
    </r>
    <r>
      <rPr>
        <sz val="11"/>
        <color theme="1"/>
        <rFont val="Aptos Narrow"/>
      </rPr>
      <t xml:space="preserve"> field UI text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</si>
  <si>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ui/text/account_number</t>
    </r>
    <r>
      <rPr>
        <sz val="11"/>
        <color theme="1"/>
        <rFont val="Arial"/>
      </rPr>
      <t xml:space="preserve"> app settings.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</si>
  <si>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Visit Number </t>
    </r>
    <r>
      <rPr>
        <sz val="11"/>
        <color theme="1"/>
        <rFont val="Arial"/>
      </rPr>
      <t>field UI text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</si>
  <si>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ui/text/visit_number</t>
    </r>
    <r>
      <rPr>
        <sz val="11"/>
        <color theme="1"/>
        <rFont val="Arial"/>
      </rPr>
      <t xml:space="preserve"> app settings.
Only displayed when</t>
    </r>
    <r>
      <rPr>
        <b/>
        <sz val="11"/>
        <color theme="1"/>
        <rFont val="Arial"/>
      </rPr>
      <t xml:space="preserve"> mother/track/visit_number = true</t>
    </r>
  </si>
  <si>
    <t>Click Save Button without input data</t>
  </si>
  <si>
    <r>
      <rPr>
        <sz val="11"/>
        <color theme="1"/>
        <rFont val="Arial"/>
      </rPr>
      <t xml:space="preserve">Validation Messages
</t>
    </r>
    <r>
      <rPr>
        <sz val="11"/>
        <color rgb="FFFF0000"/>
        <rFont val="Arial"/>
      </rPr>
      <t>First Name is required.
Last Name is required.
ui/text/mrn_number is required.
ui/text/account_number is required</t>
    </r>
  </si>
  <si>
    <t>Patient</t>
  </si>
  <si>
    <t>Scenario:  Add Patients</t>
  </si>
  <si>
    <t>Patients page opens.</t>
  </si>
  <si>
    <r>
      <rPr>
        <sz val="11"/>
        <color theme="1"/>
        <rFont val="Calibri"/>
      </rPr>
      <t xml:space="preserve">Click on </t>
    </r>
    <r>
      <rPr>
        <b/>
        <sz val="11"/>
        <color rgb="FF000000"/>
        <rFont val="Calibri"/>
      </rPr>
      <t>Add Patient</t>
    </r>
    <r>
      <rPr>
        <sz val="11"/>
        <color rgb="FF000000"/>
        <rFont val="Calibri"/>
      </rPr>
      <t xml:space="preserve"> button</t>
    </r>
  </si>
  <si>
    <r>
      <rPr>
        <sz val="11"/>
        <color theme="1"/>
        <rFont val="Calibri"/>
      </rPr>
      <t>Redirects to</t>
    </r>
    <r>
      <rPr>
        <b/>
        <sz val="11"/>
        <color rgb="FF000000"/>
        <rFont val="Calibri"/>
      </rPr>
      <t xml:space="preserve"> Add Patient</t>
    </r>
    <r>
      <rPr>
        <sz val="11"/>
        <color rgb="FF000000"/>
        <rFont val="Calibri"/>
      </rPr>
      <t xml:space="preserve"> page.</t>
    </r>
  </si>
  <si>
    <t>First, Select any Unit in the dropdown</t>
  </si>
  <si>
    <t>Chosen unit, should now be selected.</t>
  </si>
  <si>
    <t>Should not be future date</t>
  </si>
  <si>
    <r>
      <rPr>
        <sz val="11"/>
        <color theme="1"/>
        <rFont val="Calibri"/>
      </rPr>
      <t xml:space="preserve">Value from the excel file should be prefix with </t>
    </r>
    <r>
      <rPr>
        <b/>
        <sz val="11"/>
        <color theme="1"/>
        <rFont val="Calibri"/>
      </rPr>
      <t>ui/text/mrn_number</t>
    </r>
    <r>
      <rPr>
        <sz val="11"/>
        <color theme="1"/>
        <rFont val="Calibri"/>
      </rPr>
      <t xml:space="preserve"> and</t>
    </r>
    <r>
      <rPr>
        <b/>
        <sz val="11"/>
        <color theme="1"/>
        <rFont val="Calibri"/>
      </rPr>
      <t xml:space="preserve"> ui/text/account_number</t>
    </r>
    <r>
      <rPr>
        <sz val="11"/>
        <color theme="1"/>
        <rFont val="Calibri"/>
      </rPr>
      <t xml:space="preserve">  app settings (without a space).
Example: MRN123 / AccountNumber123</t>
    </r>
  </si>
  <si>
    <t>Scenario:  Print Patients</t>
  </si>
  <si>
    <t xml:space="preserve">Click on Clinical Management &gt; Manage Patients  </t>
  </si>
  <si>
    <t>Choose a Patient &gt; Click on the ellipses beside the Patient name &gt; View</t>
  </si>
  <si>
    <t>Redirects to Patient Information</t>
  </si>
  <si>
    <t>Click on Print Patient Barcode</t>
  </si>
  <si>
    <t>Redirects to Print Patient Barcode Page</t>
  </si>
  <si>
    <t>On the Patient Barcode Page, Patient's Barcode and Printer are auto selected and Click Next</t>
  </si>
  <si>
    <t xml:space="preserve">Patient Barcode should be printedd </t>
  </si>
  <si>
    <t xml:space="preserve">Step 5 </t>
  </si>
  <si>
    <t>Print More Patient Barcode</t>
  </si>
  <si>
    <t>Redirects to Print Patient Barcode Page and scan the patient barcode</t>
  </si>
  <si>
    <t>Scenario:  Discharge Patients</t>
  </si>
  <si>
    <t>Click on Discharge &gt; Discharge Patients
Click on Clinical Management &gt; Manage Patients &gt; Click on the ellipses &gt; Discharge</t>
  </si>
  <si>
    <t>Redirects to Discharge Patient page</t>
  </si>
  <si>
    <t>Choose a patient</t>
  </si>
  <si>
    <r>
      <rPr>
        <sz val="11"/>
        <color theme="1"/>
        <rFont val="Calibri"/>
      </rPr>
      <t xml:space="preserve">If no patient selected, a hard stop will occur. 
</t>
    </r>
    <r>
      <rPr>
        <sz val="11"/>
        <color rgb="FFFF0000"/>
        <rFont val="Calibri"/>
      </rPr>
      <t xml:space="preserve"> Please select a Patient to discharge.</t>
    </r>
  </si>
  <si>
    <t>After choosing a patient, click next</t>
  </si>
  <si>
    <t>Redirects to Confirmation Page
Ex: Are you sure you would like to discharge TIMELESS, TS BABY A (PT000001)?
This Patient's Guardian, TIMELESS, SAMPLE GUARDIAN (MOT000001) will also be deactivated.</t>
  </si>
  <si>
    <t>Click Finish</t>
  </si>
  <si>
    <r>
      <rPr>
        <sz val="11"/>
        <color theme="1"/>
        <rFont val="Arial"/>
      </rPr>
      <t xml:space="preserve">Success Message will be displayed
</t>
    </r>
    <r>
      <rPr>
        <sz val="11"/>
        <color theme="9"/>
        <rFont val="Arial"/>
      </rPr>
      <t>TIMELESS, TS BABY A (PT000001) has been successfully discharged.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</si>
  <si>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ui/text/visit_number</t>
    </r>
    <r>
      <rPr>
        <sz val="11"/>
        <color theme="1"/>
        <rFont val="Arial"/>
      </rPr>
      <t xml:space="preserve"> app settings.
Only displayed when</t>
    </r>
    <r>
      <rPr>
        <b/>
        <sz val="11"/>
        <color theme="1"/>
        <rFont val="Arial"/>
      </rPr>
      <t xml:space="preserve"> baby/track/visit_number = true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</si>
  <si>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MPID </t>
    </r>
    <r>
      <rPr>
        <sz val="11"/>
        <color theme="1"/>
        <rFont val="Arial"/>
      </rPr>
      <t>field UI text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</si>
  <si>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ui/text/mpid_number</t>
    </r>
    <r>
      <rPr>
        <sz val="11"/>
        <color theme="1"/>
        <rFont val="Arial"/>
      </rPr>
      <t xml:space="preserve"> app settings.
Only displayed when</t>
    </r>
    <r>
      <rPr>
        <b/>
        <sz val="11"/>
        <color theme="1"/>
        <rFont val="Arial"/>
      </rPr>
      <t xml:space="preserve"> baby/track/mpid_number = true</t>
    </r>
  </si>
  <si>
    <r>
      <rPr>
        <sz val="11"/>
        <color theme="1"/>
        <rFont val="Arial"/>
      </rPr>
      <t xml:space="preserve">Validation Messages
</t>
    </r>
    <r>
      <rPr>
        <sz val="11"/>
        <color rgb="FFFF0000"/>
        <rFont val="Arial"/>
      </rPr>
      <t>Unit is required.
First Name is required.
Last Name is required.
Date of Birth is required.
ui/text/mrn_number is required.
ui/text/account_number is required
ui/text/mpid_number is required
Guardian is required.</t>
    </r>
  </si>
  <si>
    <t>Scenario:  View Patient</t>
  </si>
  <si>
    <t>Click on Clinical Management &gt; Manage Patients &gt; Choose a patient and click on the options button beside Last Name &gt; View</t>
  </si>
  <si>
    <t>Verify Patient Patient Information</t>
  </si>
  <si>
    <t>Patient Info should display including Guardians Name</t>
  </si>
  <si>
    <r>
      <rPr>
        <sz val="11"/>
        <color rgb="FF000000"/>
        <rFont val="Arial"/>
      </rPr>
      <t xml:space="preserve">Click on </t>
    </r>
    <r>
      <rPr>
        <b/>
        <sz val="11"/>
        <color rgb="FF000000"/>
        <rFont val="Arial"/>
      </rPr>
      <t>Edit Patient Information</t>
    </r>
    <r>
      <rPr>
        <sz val="11"/>
        <color rgb="FF000000"/>
        <rFont val="Arial"/>
      </rPr>
      <t xml:space="preserve"> button</t>
    </r>
  </si>
  <si>
    <t>Redirects to Edit patient page.</t>
  </si>
  <si>
    <r>
      <rPr>
        <sz val="11"/>
        <color rgb="FF000000"/>
        <rFont val="Arial"/>
      </rPr>
      <t xml:space="preserve">Click on </t>
    </r>
    <r>
      <rPr>
        <b/>
        <sz val="11"/>
        <color rgb="FF000000"/>
        <rFont val="Arial"/>
      </rPr>
      <t>Print Patient Barcode</t>
    </r>
    <r>
      <rPr>
        <sz val="11"/>
        <color rgb="FF000000"/>
        <rFont val="Arial"/>
      </rPr>
      <t xml:space="preserve"> button</t>
    </r>
  </si>
  <si>
    <t>Print patient barcode page opens and a dropdown for printers option should display.</t>
  </si>
  <si>
    <r>
      <rPr>
        <sz val="11"/>
        <color rgb="FF000000"/>
        <rFont val="Arial"/>
      </rPr>
      <t xml:space="preserve">Click on </t>
    </r>
    <r>
      <rPr>
        <b/>
        <sz val="11"/>
        <color rgb="FF000000"/>
        <rFont val="Arial"/>
      </rPr>
      <t>View Guardian Information</t>
    </r>
    <r>
      <rPr>
        <sz val="11"/>
        <color rgb="FF000000"/>
        <rFont val="Arial"/>
      </rPr>
      <t xml:space="preserve"> button</t>
    </r>
  </si>
  <si>
    <t>Redirects to Guardian Information Page</t>
  </si>
  <si>
    <t>Scenario:  Edit Patient</t>
  </si>
  <si>
    <t>Click on Clinical Management &gt; Manage Patients &gt; Edit.</t>
  </si>
  <si>
    <t>Edit Patient page opens</t>
  </si>
  <si>
    <t>Verify Patient Information details</t>
  </si>
  <si>
    <t>All details should be correct</t>
  </si>
  <si>
    <r>
      <rPr>
        <sz val="11"/>
        <color theme="1"/>
        <rFont val="Arial"/>
      </rPr>
      <t xml:space="preserve">Update first and last name by adding </t>
    </r>
    <r>
      <rPr>
        <b/>
        <sz val="11"/>
        <color theme="1"/>
        <rFont val="Arial"/>
      </rPr>
      <t xml:space="preserve"> UPDATED </t>
    </r>
    <r>
      <rPr>
        <sz val="11"/>
        <color theme="1"/>
        <rFont val="Arial"/>
      </rPr>
      <t>word after its original value</t>
    </r>
  </si>
  <si>
    <r>
      <rPr>
        <sz val="11"/>
        <color theme="1"/>
        <rFont val="Arial"/>
      </rPr>
      <t xml:space="preserve">Click </t>
    </r>
    <r>
      <rPr>
        <b/>
        <sz val="11"/>
        <color rgb="FF000000"/>
        <rFont val="Arial"/>
      </rPr>
      <t xml:space="preserve">Save </t>
    </r>
    <r>
      <rPr>
        <sz val="11"/>
        <color rgb="FF000000"/>
        <rFont val="Arial"/>
      </rPr>
      <t>button.</t>
    </r>
  </si>
  <si>
    <t>Verify changes using Search Patient Function</t>
  </si>
  <si>
    <t>Changes should appear</t>
  </si>
  <si>
    <t>Scenario:  View Mother Info</t>
  </si>
  <si>
    <t>Redirects to Edit Patient Page</t>
  </si>
  <si>
    <t>Click on "Click here to edit Guardian"</t>
  </si>
  <si>
    <t>Redirects to Edit Guardian Page</t>
  </si>
  <si>
    <t>Click on Clinical Management &gt; Manage Patients &gt; View.</t>
  </si>
  <si>
    <t xml:space="preserve">Redirects to Patient Information </t>
  </si>
  <si>
    <t>Click View Guardian Information</t>
  </si>
  <si>
    <t>Redirects to Guardian Information</t>
  </si>
  <si>
    <t>Manage Patient Feeding Order</t>
  </si>
  <si>
    <t>Scenario:  Add EBM Only Order</t>
  </si>
  <si>
    <r>
      <rPr>
        <sz val="11"/>
        <color theme="1"/>
        <rFont val="Arial"/>
      </rPr>
      <t xml:space="preserve">Click on </t>
    </r>
    <r>
      <rPr>
        <i/>
        <sz val="11"/>
        <color theme="1"/>
        <rFont val="Arial"/>
      </rPr>
      <t>Clinical Management</t>
    </r>
    <r>
      <rPr>
        <sz val="11"/>
        <color theme="1"/>
        <rFont val="Arial"/>
      </rPr>
      <t xml:space="preserve">  &gt; Manage Patient Feeding Orders</t>
    </r>
  </si>
  <si>
    <t>Redirects Patient Order Page</t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</si>
  <si>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Add Patient Order </t>
    </r>
    <r>
      <rPr>
        <sz val="11"/>
        <color theme="1"/>
        <rFont val="Arial"/>
      </rPr>
      <t>button</t>
    </r>
  </si>
  <si>
    <t>Redirects Edit Patient Order Page</t>
  </si>
  <si>
    <r>
      <rPr>
        <sz val="11"/>
        <color theme="1"/>
        <rFont val="Arial"/>
      </rPr>
      <t xml:space="preserve">Select an </t>
    </r>
    <r>
      <rPr>
        <b/>
        <sz val="11"/>
        <color theme="1"/>
        <rFont val="Arial"/>
      </rPr>
      <t xml:space="preserve">Order Type </t>
    </r>
  </si>
  <si>
    <t>Selected order type should be displayed</t>
  </si>
  <si>
    <r>
      <rPr>
        <sz val="11"/>
        <color theme="1"/>
        <rFont val="Arial"/>
      </rPr>
      <t xml:space="preserve">Select an </t>
    </r>
    <r>
      <rPr>
        <b/>
        <sz val="11"/>
        <color theme="1"/>
        <rFont val="Arial"/>
      </rPr>
      <t>Order Priority</t>
    </r>
  </si>
  <si>
    <t>Selected order priority should be displayed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</si>
  <si>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Breastmilk </t>
    </r>
    <r>
      <rPr>
        <sz val="11"/>
        <color theme="1"/>
        <rFont val="Arial"/>
      </rPr>
      <t>in Order Base dropdoown</t>
    </r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</si>
  <si>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>EBM_display_name_short only</t>
    </r>
    <r>
      <rPr>
        <sz val="11"/>
        <color theme="1"/>
        <rFont val="Arial"/>
      </rPr>
      <t xml:space="preserve"> only from the Milk Base dropdown</t>
    </r>
  </si>
  <si>
    <t>Input a feed volume</t>
  </si>
  <si>
    <r>
      <rPr>
        <sz val="11"/>
        <color theme="1"/>
        <rFont val="Arial"/>
      </rPr>
      <t xml:space="preserve">Inputted feed volume should be displayed.
</t>
    </r>
    <r>
      <rPr>
        <b/>
        <u/>
        <sz val="11"/>
        <color rgb="FF0000FF"/>
        <rFont val="Arial"/>
      </rPr>
      <t>Default (Can be change on the SmokeTestingData excel file)</t>
    </r>
    <r>
      <rPr>
        <sz val="11"/>
        <color theme="1"/>
        <rFont val="Arial"/>
      </rPr>
      <t xml:space="preserve">
</t>
    </r>
    <r>
      <rPr>
        <sz val="11"/>
        <color rgb="FF0000FF"/>
        <rFont val="Arial"/>
      </rPr>
      <t>10 mL</t>
    </r>
  </si>
  <si>
    <t>Input a label note</t>
  </si>
  <si>
    <t>Default (Can be change on the SmokeTestingData excel file)</t>
  </si>
  <si>
    <t>Step 11</t>
  </si>
  <si>
    <t>Verify newly created order by Searching</t>
  </si>
  <si>
    <t>Newly created will appear in the search result</t>
  </si>
  <si>
    <t>Scenario: Edit EBM Only Order</t>
  </si>
  <si>
    <r>
      <rPr>
        <sz val="11"/>
        <color theme="1"/>
        <rFont val="Arial"/>
      </rPr>
      <t xml:space="preserve">Click on </t>
    </r>
    <r>
      <rPr>
        <i/>
        <sz val="11"/>
        <color theme="1"/>
        <rFont val="Arial"/>
      </rPr>
      <t>Clinical Management</t>
    </r>
    <r>
      <rPr>
        <sz val="11"/>
        <color theme="1"/>
        <rFont val="Arial"/>
      </rPr>
      <t xml:space="preserve">  &gt; Manage Patient Feeding Orders  </t>
    </r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</si>
  <si>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EBM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</si>
  <si>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Edit/Update fields</t>
  </si>
  <si>
    <t>Changes (if any) should be displayed</t>
  </si>
  <si>
    <t>Scenario: Add DBM Only Order</t>
  </si>
  <si>
    <t>Select Breastmilk from the order base dropdown</t>
  </si>
  <si>
    <t>Milk Base dropdown should appear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</si>
  <si>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>DBM_display_name_short only</t>
    </r>
    <r>
      <rPr>
        <sz val="11"/>
        <color theme="1"/>
        <rFont val="Arial"/>
      </rPr>
      <t xml:space="preserve"> from the Milk Base dropdown</t>
    </r>
  </si>
  <si>
    <r>
      <rPr>
        <b/>
        <sz val="11"/>
        <color theme="1"/>
        <rFont val="Arial"/>
      </rPr>
      <t>DBM_display_name_short only</t>
    </r>
    <r>
      <rPr>
        <sz val="11"/>
        <color theme="1"/>
        <rFont val="Arial"/>
      </rPr>
      <t xml:space="preserve"> should be selected</t>
    </r>
  </si>
  <si>
    <t>Scenario: Edit DBM Only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</si>
  <si>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DBM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</si>
  <si>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EBM or DBM Order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</si>
  <si>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>EBM_display_name_short or DBM_display_name_short</t>
    </r>
    <r>
      <rPr>
        <sz val="11"/>
        <color theme="1"/>
        <rFont val="Arial"/>
      </rPr>
      <t xml:space="preserve"> from the Milk Base dropdown</t>
    </r>
  </si>
  <si>
    <r>
      <rPr>
        <b/>
        <sz val="11"/>
        <color theme="1"/>
        <rFont val="Arial"/>
      </rPr>
      <t>EBM_display_name_short or DBM_display_name_short</t>
    </r>
    <r>
      <rPr>
        <sz val="11"/>
        <color theme="1"/>
        <rFont val="Arial"/>
      </rPr>
      <t xml:space="preserve"> should be selected</t>
    </r>
  </si>
  <si>
    <t>Scenario: Edit EBM or DBM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</si>
  <si>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>EBM or DBM</t>
    </r>
    <r>
      <rPr>
        <sz val="11"/>
        <color theme="1"/>
        <rFont val="Arial"/>
      </rPr>
      <t xml:space="preserve"> feed order then click the </t>
    </r>
    <r>
      <rPr>
        <b/>
        <sz val="11"/>
        <color theme="1"/>
        <rFont val="Arial"/>
      </rPr>
      <t>Edit button</t>
    </r>
  </si>
  <si>
    <t>Scenario: Add EBM / DBM / EBM or DBM + Fortifier Order</t>
  </si>
  <si>
    <r>
      <rPr>
        <sz val="11"/>
        <color theme="1"/>
        <rFont val="Aptos Narrow"/>
      </rPr>
      <t xml:space="preserve">Click </t>
    </r>
    <r>
      <rPr>
        <b/>
        <sz val="11"/>
        <color theme="1"/>
        <rFont val="Aptos Narrow"/>
      </rPr>
      <t xml:space="preserve">Add Patient Order </t>
    </r>
    <r>
      <rPr>
        <sz val="11"/>
        <color theme="1"/>
        <rFont val="Aptos Narrow"/>
      </rPr>
      <t>button</t>
    </r>
  </si>
  <si>
    <t>Selected order base should be displayed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</si>
  <si>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EBM / DBM / EBM or DBM </t>
    </r>
    <r>
      <rPr>
        <sz val="11"/>
        <color theme="1"/>
        <rFont val="Arial"/>
      </rPr>
      <t>from the Milk Base dropdown</t>
    </r>
  </si>
  <si>
    <t>Selected Milk base should be displayed</t>
  </si>
  <si>
    <t>In additive, select a product to use as a fortifier.</t>
  </si>
  <si>
    <t>Selected product as a fortifier should be displayed.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</si>
  <si>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Fortifier </t>
    </r>
    <r>
      <rPr>
        <sz val="11"/>
        <color theme="1"/>
        <rFont val="Arial"/>
      </rPr>
      <t xml:space="preserve">as a type and select a </t>
    </r>
    <r>
      <rPr>
        <b/>
        <sz val="11"/>
        <color theme="1"/>
        <rFont val="Arial"/>
      </rPr>
      <t>mix to calories</t>
    </r>
  </si>
  <si>
    <r>
      <rPr>
        <sz val="11"/>
        <color theme="1"/>
        <rFont val="Arial"/>
      </rPr>
      <t xml:space="preserve">Selected type and mix to cal. should be displayed.
</t>
    </r>
    <r>
      <rPr>
        <b/>
        <u/>
        <sz val="11"/>
        <color rgb="FF0000FF"/>
        <rFont val="Arial"/>
      </rPr>
      <t>Default (Can be change on the SmokeTestingData excel file)</t>
    </r>
    <r>
      <rPr>
        <sz val="11"/>
        <color rgb="FF0000FF"/>
        <rFont val="Arial"/>
      </rPr>
      <t xml:space="preserve">
Fortifier 1
Enfamil Infant PWD
Mix To cal: 22
Fortifier 2
Mct Oil Concentrate
Mix To cal: 24</t>
    </r>
  </si>
  <si>
    <t>Step 12</t>
  </si>
  <si>
    <t>Step 13</t>
  </si>
  <si>
    <t>Scenario: Edit EBM / DBM / EBM or DBM + Fortifier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</si>
  <si>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EBM / DBM / EBM or DBM With Fortifier Order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</si>
  <si>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EBM / DBM / EBM or DBM With Fortifier and Modular Order</t>
  </si>
  <si>
    <r>
      <rPr>
        <sz val="11"/>
        <color theme="1"/>
        <rFont val="Arial"/>
      </rPr>
      <t xml:space="preserve">Selected type and mix to cal. should be displayed.
</t>
    </r>
    <r>
      <rPr>
        <b/>
        <u/>
        <sz val="11"/>
        <color rgb="FF0000FF"/>
        <rFont val="Arial"/>
      </rPr>
      <t>Default (Can be change on the SmokeTestingData excel file)</t>
    </r>
    <r>
      <rPr>
        <sz val="11"/>
        <color rgb="FF0000FF"/>
        <rFont val="Arial"/>
      </rPr>
      <t xml:space="preserve">
Fortifier 1
Enfamil Infant PWD
Mix To cal: 22</t>
    </r>
  </si>
  <si>
    <t>In additive, select a product to use as a modular.</t>
  </si>
  <si>
    <r>
      <rPr>
        <sz val="11"/>
        <color theme="1"/>
        <rFont val="Arial"/>
      </rPr>
      <t xml:space="preserve">Selected product as a modular should be displayed.
</t>
    </r>
    <r>
      <rPr>
        <b/>
        <u/>
        <sz val="11"/>
        <color rgb="FF0000FF"/>
        <rFont val="Arial"/>
      </rPr>
      <t>Default (Can be change on the SmokeTestingData excel file)</t>
    </r>
    <r>
      <rPr>
        <sz val="11"/>
        <color rgb="FF0000FF"/>
        <rFont val="Arial"/>
      </rPr>
      <t xml:space="preserve">
Modular 1
Mct Oil Concentrate
Modular Value: 5</t>
    </r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</si>
  <si>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Modular </t>
    </r>
    <r>
      <rPr>
        <sz val="11"/>
        <color theme="1"/>
        <rFont val="Arial"/>
      </rPr>
      <t xml:space="preserve">as a type(their are 4 types of app settings associated with tracking of Modulars:
The app settings for this is </t>
    </r>
    <r>
      <rPr>
        <b/>
        <sz val="11"/>
        <color theme="1"/>
        <rFont val="Arial"/>
      </rPr>
      <t xml:space="preserve">manual_orm/track_modular_volume
</t>
    </r>
    <r>
      <rPr>
        <sz val="11"/>
        <color theme="1"/>
        <rFont val="Arial"/>
      </rPr>
      <t xml:space="preserve">These are the following values to be selected:
</t>
    </r>
    <r>
      <rPr>
        <b/>
        <sz val="11"/>
        <color theme="1"/>
        <rFont val="Arial"/>
      </rPr>
      <t>MODULAR_NO_TRACKING</t>
    </r>
    <r>
      <rPr>
        <sz val="11"/>
        <color theme="1"/>
        <rFont val="Arial"/>
      </rPr>
      <t xml:space="preserve">(default value)
</t>
    </r>
    <r>
      <rPr>
        <b/>
        <sz val="11"/>
        <color theme="1"/>
        <rFont val="Arial"/>
      </rPr>
      <t>MODULAR_TOTAL_RECIPE_VOLUME
MODULAR_VOL_PER_ML
MODULAR_VOL_PER_FEED</t>
    </r>
  </si>
  <si>
    <r>
      <rPr>
        <sz val="11"/>
        <color theme="1"/>
        <rFont val="Arial"/>
      </rPr>
      <t xml:space="preserve">For </t>
    </r>
    <r>
      <rPr>
        <b/>
        <sz val="11"/>
        <color theme="1"/>
        <rFont val="Arial"/>
      </rPr>
      <t>MODULAR_NO_TRACKING</t>
    </r>
    <r>
      <rPr>
        <sz val="11"/>
        <color theme="1"/>
        <rFont val="Arial"/>
      </rPr>
      <t xml:space="preserve">(default value), you can only select a product to be used as modular.
For </t>
    </r>
    <r>
      <rPr>
        <b/>
        <sz val="11"/>
        <color theme="1"/>
        <rFont val="Arial"/>
      </rPr>
      <t xml:space="preserve">MODULAR_TOTAL_RECIPE_VOLUME, </t>
    </r>
    <r>
      <rPr>
        <sz val="11"/>
        <color theme="1"/>
        <rFont val="Arial"/>
      </rPr>
      <t xml:space="preserve">you can select a product to be used as modular and input the modular amount per recipe. 
For </t>
    </r>
    <r>
      <rPr>
        <b/>
        <sz val="11"/>
        <color theme="1"/>
        <rFont val="Arial"/>
      </rPr>
      <t xml:space="preserve">MODULAR_VOL_PER_ML, </t>
    </r>
    <r>
      <rPr>
        <sz val="11"/>
        <color theme="1"/>
        <rFont val="Arial"/>
      </rPr>
      <t xml:space="preserve">you can select a product to be used as modular and input the modular amount per ML of feed. 
For </t>
    </r>
    <r>
      <rPr>
        <b/>
        <sz val="11"/>
        <color theme="1"/>
        <rFont val="Arial"/>
      </rPr>
      <t xml:space="preserve">MODULAR_VOL_PER_FEED, </t>
    </r>
    <r>
      <rPr>
        <sz val="11"/>
        <color theme="1"/>
        <rFont val="Arial"/>
      </rPr>
      <t xml:space="preserve">you can select a product to be used as modular and input the modular amount per feed. </t>
    </r>
  </si>
  <si>
    <t>Step 14</t>
  </si>
  <si>
    <t>Step 15</t>
  </si>
  <si>
    <t>Scenario: Edit EBM / DBM / EBM or DBM With Fortifier and Modular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</si>
  <si>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EBM / DBM / EBM or DBM With Fortifier and Modular Order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</si>
  <si>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Save </t>
    </r>
    <r>
      <rPr>
        <sz val="11"/>
        <color theme="1"/>
        <rFont val="Arial"/>
      </rPr>
      <t>button.</t>
    </r>
  </si>
  <si>
    <t>Scenario: Add Product Order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</si>
  <si>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Product </t>
    </r>
    <r>
      <rPr>
        <sz val="11"/>
        <color theme="1"/>
        <rFont val="Arial"/>
      </rPr>
      <t>in Order Base dropdoown</t>
    </r>
  </si>
  <si>
    <r>
      <rPr>
        <sz val="11"/>
        <color theme="1"/>
        <rFont val="Arial"/>
      </rPr>
      <t xml:space="preserve">Select a </t>
    </r>
    <r>
      <rPr>
        <b/>
        <sz val="11"/>
        <color theme="1"/>
        <rFont val="Arial"/>
      </rPr>
      <t xml:space="preserve">Product </t>
    </r>
    <r>
      <rPr>
        <sz val="11"/>
        <color theme="1"/>
        <rFont val="Arial"/>
      </rPr>
      <t>from the Product Base dropdown</t>
    </r>
  </si>
  <si>
    <r>
      <rPr>
        <sz val="11"/>
        <color theme="1"/>
        <rFont val="Arial"/>
      </rPr>
      <t xml:space="preserve">Selected Milk base should be displayed
</t>
    </r>
    <r>
      <rPr>
        <b/>
        <u/>
        <sz val="11"/>
        <color rgb="FF0000FF"/>
        <rFont val="Arial"/>
      </rPr>
      <t>Default (Can be change on the SmokeTestingData excel file)</t>
    </r>
    <r>
      <rPr>
        <sz val="11"/>
        <color rgb="FF0000FF"/>
        <rFont val="Arial"/>
      </rPr>
      <t xml:space="preserve">
Product Base: Enfamil Infant RTU</t>
    </r>
  </si>
  <si>
    <t>Scenario: Edit Product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</si>
  <si>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Product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</si>
  <si>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Product with Fortifier Order</t>
  </si>
  <si>
    <r>
      <rPr>
        <sz val="11"/>
        <color theme="1"/>
        <rFont val="Arial"/>
      </rPr>
      <t xml:space="preserve">Select a </t>
    </r>
    <r>
      <rPr>
        <b/>
        <sz val="11"/>
        <color theme="1"/>
        <rFont val="Arial"/>
      </rPr>
      <t xml:space="preserve">Product </t>
    </r>
    <r>
      <rPr>
        <sz val="11"/>
        <color theme="1"/>
        <rFont val="Arial"/>
      </rPr>
      <t>from the Milk Base dropdown</t>
    </r>
  </si>
  <si>
    <t>Scenario: Edit Product with Fortifier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</si>
  <si>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Product and Fortifier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</si>
  <si>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Product With Fortifier and Modular Order</t>
  </si>
  <si>
    <t>Scenario: Edit Product With Fortifier and Modular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</si>
  <si>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Product With Fortifier and Modular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</si>
  <si>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Sterile Water with Fortifier Order</t>
  </si>
  <si>
    <r>
      <rPr>
        <sz val="11"/>
        <color theme="1"/>
        <rFont val="Arial"/>
      </rPr>
      <t xml:space="preserve">Select </t>
    </r>
    <r>
      <rPr>
        <b/>
        <sz val="11"/>
        <color theme="1"/>
        <rFont val="Arial"/>
      </rPr>
      <t xml:space="preserve">Sterile Water </t>
    </r>
    <r>
      <rPr>
        <sz val="11"/>
        <color theme="1"/>
        <rFont val="Arial"/>
      </rPr>
      <t>in Order Base dropdown</t>
    </r>
  </si>
  <si>
    <t>Scenario: Edit Sterile Water with Fortifier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</si>
  <si>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Sterile Water with Fortifier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</si>
  <si>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Sterile Water with Fortifier and Modular Order</t>
  </si>
  <si>
    <t>Scenario: Edit Sterile Water with Fortifier and Modular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</si>
  <si>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Sterile Water with Fortifier and Modular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</si>
  <si>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NPO Order</t>
  </si>
  <si>
    <r>
      <rPr>
        <sz val="11"/>
        <color theme="1"/>
        <rFont val="Arial"/>
      </rPr>
      <t xml:space="preserve">Select an </t>
    </r>
    <r>
      <rPr>
        <b/>
        <sz val="11"/>
        <color theme="1"/>
        <rFont val="Arial"/>
      </rPr>
      <t>Order Type as NPO</t>
    </r>
  </si>
  <si>
    <t>Scenario: Edit NPO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</si>
  <si>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NPO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</si>
  <si>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t>Scenario: Add Oral Care Order</t>
  </si>
  <si>
    <r>
      <rPr>
        <sz val="11"/>
        <color theme="1"/>
        <rFont val="Arial"/>
      </rPr>
      <t xml:space="preserve">Select an </t>
    </r>
    <r>
      <rPr>
        <b/>
        <sz val="11"/>
        <color theme="1"/>
        <rFont val="Arial"/>
      </rPr>
      <t>Order Type  as Oral Care</t>
    </r>
  </si>
  <si>
    <t>Scenario: Edit Oral Care Order</t>
  </si>
  <si>
    <r>
      <rPr>
        <sz val="11"/>
        <color theme="1"/>
        <rFont val="Arial"/>
      </rPr>
      <t xml:space="preserve">click the </t>
    </r>
    <r>
      <rPr>
        <b/>
        <sz val="11"/>
        <color theme="1"/>
        <rFont val="Arial"/>
      </rPr>
      <t>Option button</t>
    </r>
    <r>
      <rPr>
        <sz val="11"/>
        <color theme="1"/>
        <rFont val="Arial"/>
      </rPr>
      <t xml:space="preserve"> beside the patient lastname with </t>
    </r>
    <r>
      <rPr>
        <b/>
        <sz val="11"/>
        <color theme="1"/>
        <rFont val="Arial"/>
      </rPr>
      <t xml:space="preserve">Oral Care </t>
    </r>
    <r>
      <rPr>
        <sz val="11"/>
        <color theme="1"/>
        <rFont val="Arial"/>
      </rPr>
      <t xml:space="preserve">feed order then click the </t>
    </r>
    <r>
      <rPr>
        <b/>
        <sz val="11"/>
        <color theme="1"/>
        <rFont val="Arial"/>
      </rPr>
      <t>Edit button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</si>
  <si>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Tertiary </t>
    </r>
    <r>
      <rPr>
        <sz val="11"/>
        <color theme="1"/>
        <rFont val="Arial"/>
      </rPr>
      <t xml:space="preserve">value in </t>
    </r>
    <r>
      <rPr>
        <b/>
        <sz val="11"/>
        <color theme="1"/>
        <rFont val="Arial"/>
      </rPr>
      <t>Deactivate All Tertiary Orders For This Patient</t>
    </r>
    <r>
      <rPr>
        <sz val="11"/>
        <color theme="1"/>
        <rFont val="Arial"/>
      </rPr>
      <t xml:space="preserve"> checkbox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</si>
  <si>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feed_order/tertiary_priority_label</t>
    </r>
    <r>
      <rPr>
        <sz val="11"/>
        <color theme="1"/>
        <rFont val="Arial"/>
      </rPr>
      <t xml:space="preserve"> app settings.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</si>
  <si>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Tertiary </t>
    </r>
    <r>
      <rPr>
        <sz val="11"/>
        <color theme="1"/>
        <rFont val="Arial"/>
      </rPr>
      <t>value in Order Priotrity Dropdown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</si>
  <si>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 OrderBase </t>
    </r>
    <r>
      <rPr>
        <sz val="11"/>
        <color theme="1"/>
        <rFont val="Arial"/>
      </rPr>
      <t>dropdown</t>
    </r>
  </si>
  <si>
    <r>
      <rPr>
        <sz val="11"/>
        <color theme="1"/>
        <rFont val="Arial"/>
      </rPr>
      <t xml:space="preserve">Default value should be </t>
    </r>
    <r>
      <rPr>
        <b/>
        <sz val="11"/>
        <color theme="1"/>
        <rFont val="Arial"/>
      </rPr>
      <t xml:space="preserve">Breastmilk </t>
    </r>
    <r>
      <rPr>
        <sz val="11"/>
        <color theme="1"/>
        <rFont val="Arial"/>
      </rPr>
      <t xml:space="preserve">when </t>
    </r>
    <r>
      <rPr>
        <b/>
        <sz val="11"/>
        <color theme="1"/>
        <rFont val="Arial"/>
      </rPr>
      <t>orders/default_to_breastmilk</t>
    </r>
    <r>
      <rPr>
        <sz val="11"/>
        <color theme="1"/>
        <rFont val="Arial"/>
      </rPr>
      <t xml:space="preserve"> = true
Default value should be </t>
    </r>
    <r>
      <rPr>
        <b/>
        <sz val="11"/>
        <color theme="1"/>
        <rFont val="Arial"/>
      </rPr>
      <t xml:space="preserve">Product </t>
    </r>
    <r>
      <rPr>
        <sz val="11"/>
        <color theme="1"/>
        <rFont val="Arial"/>
      </rPr>
      <t>when orders/default_to_breastmilk = false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</si>
  <si>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 MilkBase </t>
    </r>
    <r>
      <rPr>
        <sz val="11"/>
        <color theme="1"/>
        <rFont val="Arial"/>
      </rPr>
      <t>dropdown</t>
    </r>
  </si>
  <si>
    <r>
      <rPr>
        <sz val="11"/>
        <color theme="1"/>
        <rFont val="Arial"/>
      </rPr>
      <t xml:space="preserve">Should be hidden when </t>
    </r>
    <r>
      <rPr>
        <b/>
        <sz val="11"/>
        <color theme="1"/>
        <rFont val="Arial"/>
      </rPr>
      <t>order/force_ebm_dbm_selection</t>
    </r>
    <r>
      <rPr>
        <sz val="11"/>
        <color theme="1"/>
        <rFont val="Arial"/>
      </rPr>
      <t xml:space="preserve"> = false
Dropdown values should be
</t>
    </r>
    <r>
      <rPr>
        <b/>
        <sz val="11"/>
        <color theme="1"/>
        <rFont val="Arial"/>
      </rPr>
      <t>EBM_display_name_short</t>
    </r>
    <r>
      <rPr>
        <sz val="11"/>
        <color theme="1"/>
        <rFont val="Arial"/>
      </rPr>
      <t xml:space="preserve"> only
</t>
    </r>
    <r>
      <rPr>
        <b/>
        <sz val="11"/>
        <color theme="1"/>
        <rFont val="Arial"/>
      </rPr>
      <t>DBM_display_name_short</t>
    </r>
    <r>
      <rPr>
        <sz val="11"/>
        <color theme="1"/>
        <rFont val="Arial"/>
      </rPr>
      <t xml:space="preserve">
</t>
    </r>
    <r>
      <rPr>
        <b/>
        <sz val="11"/>
        <color theme="1"/>
        <rFont val="Arial"/>
      </rPr>
      <t xml:space="preserve">EBM_display_name_short </t>
    </r>
    <r>
      <rPr>
        <sz val="11"/>
        <color theme="1"/>
        <rFont val="Arial"/>
      </rPr>
      <t xml:space="preserve">or </t>
    </r>
    <r>
      <rPr>
        <b/>
        <sz val="11"/>
        <color theme="1"/>
        <rFont val="Arial"/>
      </rPr>
      <t>DBM_display_name_short</t>
    </r>
  </si>
  <si>
    <r>
      <rPr>
        <sz val="11"/>
        <color theme="1"/>
        <rFont val="Arial"/>
      </rPr>
      <t xml:space="preserve">Verify </t>
    </r>
    <r>
      <rPr>
        <b/>
        <sz val="11"/>
        <color theme="1"/>
        <rFont val="Arial"/>
      </rPr>
      <t xml:space="preserve"> </t>
    </r>
    <r>
      <rPr>
        <sz val="11"/>
        <color theme="1"/>
        <rFont val="Arial"/>
      </rPr>
      <t xml:space="preserve">Starting </t>
    </r>
    <r>
      <rPr>
        <b/>
        <sz val="11"/>
        <color theme="1"/>
        <rFont val="Arial"/>
      </rPr>
      <t>Calories/Oz</t>
    </r>
    <r>
      <rPr>
        <sz val="11"/>
        <color theme="1"/>
        <rFont val="Arial"/>
      </rPr>
      <t xml:space="preserve"> and Mix to (</t>
    </r>
    <r>
      <rPr>
        <b/>
        <sz val="11"/>
        <color theme="1"/>
        <rFont val="Arial"/>
      </rPr>
      <t>Calories/Oz</t>
    </r>
    <r>
      <rPr>
        <sz val="11"/>
        <color theme="1"/>
        <rFont val="Arial"/>
      </rPr>
      <t>) Header</t>
    </r>
  </si>
  <si>
    <r>
      <rPr>
        <sz val="11"/>
        <color theme="1"/>
        <rFont val="Arial"/>
      </rPr>
      <t xml:space="preserve">Should be the same with </t>
    </r>
    <r>
      <rPr>
        <b/>
        <sz val="11"/>
        <color theme="1"/>
        <rFont val="Arial"/>
      </rPr>
      <t>cal_per_ui</t>
    </r>
    <r>
      <rPr>
        <sz val="11"/>
        <color theme="1"/>
        <rFont val="Arial"/>
      </rPr>
      <t xml:space="preserve"> app settings.</t>
    </r>
  </si>
  <si>
    <t>Print</t>
  </si>
  <si>
    <t>Scenario:  Print Collection Labels for EHM</t>
  </si>
  <si>
    <t>Click on Print Collection Labels</t>
  </si>
  <si>
    <t>Print Collection Labels page opens.</t>
  </si>
  <si>
    <r>
      <rPr>
        <sz val="11"/>
        <color theme="1"/>
        <rFont val="Roboto"/>
      </rPr>
      <t xml:space="preserve">Scan the Patient's Barcode; OR
This is displayed when </t>
    </r>
    <r>
      <rPr>
        <b/>
        <sz val="11"/>
        <color theme="1"/>
        <rFont val="Roboto"/>
      </rPr>
      <t xml:space="preserve">allow_users_to_scan_babies_for_print </t>
    </r>
    <r>
      <rPr>
        <sz val="11"/>
        <color theme="1"/>
        <rFont val="Roboto"/>
      </rPr>
      <t xml:space="preserve">is </t>
    </r>
    <r>
      <rPr>
        <b/>
        <sz val="11"/>
        <color theme="1"/>
        <rFont val="Roboto"/>
      </rPr>
      <t>true</t>
    </r>
    <r>
      <rPr>
        <sz val="11"/>
        <color theme="1"/>
        <rFont val="Roboto"/>
      </rPr>
      <t>. It is set to True by default.</t>
    </r>
  </si>
  <si>
    <t>Barcode number populates on the text field</t>
  </si>
  <si>
    <r>
      <rPr>
        <sz val="11"/>
        <color theme="1"/>
        <rFont val="Roboto"/>
      </rPr>
      <t xml:space="preserve">Select the Patient
This is displayed when </t>
    </r>
    <r>
      <rPr>
        <b/>
        <sz val="11"/>
        <color theme="1"/>
        <rFont val="Roboto"/>
      </rPr>
      <t xml:space="preserve">allow_users_to_select_babies_for_print </t>
    </r>
    <r>
      <rPr>
        <sz val="11"/>
        <color theme="1"/>
        <rFont val="Roboto"/>
      </rPr>
      <t xml:space="preserve">is </t>
    </r>
    <r>
      <rPr>
        <b/>
        <sz val="11"/>
        <color theme="1"/>
        <rFont val="Roboto"/>
      </rPr>
      <t>true</t>
    </r>
    <r>
      <rPr>
        <sz val="11"/>
        <color theme="1"/>
        <rFont val="Roboto"/>
      </rPr>
      <t>, and Permission for User: Show Patient Dropdown List in Print Labels is allowed. The app setting is False by default</t>
    </r>
  </si>
  <si>
    <t>Patient is selected and displayed on the text field</t>
  </si>
  <si>
    <r>
      <rPr>
        <sz val="11"/>
        <color theme="1"/>
        <rFont val="Roboto"/>
      </rPr>
      <t xml:space="preserve">Select the Guardian Barcode
This is displayed when </t>
    </r>
    <r>
      <rPr>
        <b/>
        <sz val="11"/>
        <color theme="1"/>
        <rFont val="Roboto"/>
      </rPr>
      <t xml:space="preserve">allow_users_to_select_mothers_for_print </t>
    </r>
    <r>
      <rPr>
        <sz val="11"/>
        <color theme="1"/>
        <rFont val="Roboto"/>
      </rPr>
      <t xml:space="preserve">is </t>
    </r>
    <r>
      <rPr>
        <b/>
        <sz val="11"/>
        <color theme="1"/>
        <rFont val="Roboto"/>
      </rPr>
      <t xml:space="preserve">true </t>
    </r>
    <r>
      <rPr>
        <sz val="11"/>
        <color theme="1"/>
        <rFont val="Roboto"/>
      </rPr>
      <t xml:space="preserve"> in app setting, this is False by default.</t>
    </r>
  </si>
  <si>
    <t>Guardian is selected and displayed on the text field</t>
  </si>
  <si>
    <r>
      <rPr>
        <sz val="11"/>
        <color theme="1"/>
        <rFont val="Roboto"/>
      </rPr>
      <t xml:space="preserve">Scan the Guardian's Barcode
This is displayed when </t>
    </r>
    <r>
      <rPr>
        <b/>
        <sz val="11"/>
        <color theme="1"/>
        <rFont val="Roboto"/>
      </rPr>
      <t>allow_users_to_scan_mothers_for_print</t>
    </r>
    <r>
      <rPr>
        <sz val="11"/>
        <color theme="1"/>
        <rFont val="Roboto"/>
      </rPr>
      <t xml:space="preserve"> is </t>
    </r>
    <r>
      <rPr>
        <b/>
        <sz val="11"/>
        <color theme="1"/>
        <rFont val="Roboto"/>
      </rPr>
      <t xml:space="preserve">true </t>
    </r>
    <r>
      <rPr>
        <sz val="11"/>
        <color theme="1"/>
        <rFont val="Roboto"/>
      </rPr>
      <t xml:space="preserve">in app setting, this is False by default.
Note: If both </t>
    </r>
    <r>
      <rPr>
        <b/>
        <sz val="11"/>
        <color theme="1"/>
        <rFont val="Roboto"/>
      </rPr>
      <t>allow_users_to_</t>
    </r>
    <r>
      <rPr>
        <b/>
        <sz val="11"/>
        <color rgb="FF9900FF"/>
        <rFont val="Roboto"/>
      </rPr>
      <t>select</t>
    </r>
    <r>
      <rPr>
        <b/>
        <sz val="11"/>
        <color theme="1"/>
        <rFont val="Roboto"/>
      </rPr>
      <t xml:space="preserve">_mothers_for_print </t>
    </r>
    <r>
      <rPr>
        <sz val="11"/>
        <color theme="1"/>
        <rFont val="Roboto"/>
      </rPr>
      <t xml:space="preserve">and </t>
    </r>
    <r>
      <rPr>
        <b/>
        <sz val="11"/>
        <color theme="1"/>
        <rFont val="Roboto"/>
      </rPr>
      <t>allow_users_to_</t>
    </r>
    <r>
      <rPr>
        <b/>
        <sz val="11"/>
        <color rgb="FF9900FF"/>
        <rFont val="Roboto"/>
      </rPr>
      <t>scan</t>
    </r>
    <r>
      <rPr>
        <b/>
        <sz val="11"/>
        <color theme="1"/>
        <rFont val="Roboto"/>
      </rPr>
      <t xml:space="preserve">_mothers_for_print </t>
    </r>
    <r>
      <rPr>
        <sz val="11"/>
        <color theme="1"/>
        <rFont val="Roboto"/>
      </rPr>
      <t xml:space="preserve">are set to </t>
    </r>
    <r>
      <rPr>
        <b/>
        <sz val="11"/>
        <color theme="1"/>
        <rFont val="Roboto"/>
      </rPr>
      <t>true</t>
    </r>
    <r>
      <rPr>
        <sz val="11"/>
        <color theme="1"/>
        <rFont val="Roboto"/>
      </rPr>
      <t>, then only the `Select the Guardian` option will be displayed</t>
    </r>
  </si>
  <si>
    <t>Select the number of labels desired in the 'How many new labels' dropdown</t>
  </si>
  <si>
    <r>
      <rPr>
        <sz val="11"/>
        <color theme="1"/>
        <rFont val="Roboto"/>
      </rPr>
      <t xml:space="preserve">By default, value should be the same with </t>
    </r>
    <r>
      <rPr>
        <b/>
        <sz val="11"/>
        <color theme="1"/>
        <rFont val="Roboto"/>
      </rPr>
      <t>print_bottles/bottle_count_dropdown_default</t>
    </r>
    <r>
      <rPr>
        <sz val="11"/>
        <color theme="1"/>
        <rFont val="Roboto"/>
      </rPr>
      <t xml:space="preserve"> app setting</t>
    </r>
  </si>
  <si>
    <r>
      <rPr>
        <sz val="11"/>
        <color theme="1"/>
        <rFont val="Roboto"/>
      </rPr>
      <t xml:space="preserve">Select 'Language to Use for Date and Time Pumped:'
This is displayed when </t>
    </r>
    <r>
      <rPr>
        <b/>
        <sz val="11"/>
        <color theme="1"/>
        <rFont val="Roboto"/>
      </rPr>
      <t>issue/allow_spanish_text</t>
    </r>
    <r>
      <rPr>
        <sz val="11"/>
        <color theme="1"/>
        <rFont val="Roboto"/>
      </rPr>
      <t xml:space="preserve"> app setting is set to </t>
    </r>
    <r>
      <rPr>
        <b/>
        <sz val="11"/>
        <color theme="1"/>
        <rFont val="Roboto"/>
      </rPr>
      <t>true</t>
    </r>
    <r>
      <rPr>
        <sz val="11"/>
        <color theme="1"/>
        <rFont val="Roboto"/>
      </rPr>
      <t xml:space="preserve">. By default, this setting is already true. If it's changed to false, then this step will be hidden.
When the </t>
    </r>
    <r>
      <rPr>
        <b/>
        <sz val="11"/>
        <color theme="1"/>
        <rFont val="Roboto"/>
      </rPr>
      <t>issue/allow_arabic_text app</t>
    </r>
    <r>
      <rPr>
        <sz val="11"/>
        <color theme="1"/>
        <rFont val="Roboto"/>
      </rPr>
      <t xml:space="preserve"> setting is </t>
    </r>
    <r>
      <rPr>
        <b/>
        <sz val="11"/>
        <color theme="1"/>
        <rFont val="Roboto"/>
      </rPr>
      <t>true</t>
    </r>
    <r>
      <rPr>
        <sz val="11"/>
        <color theme="1"/>
        <rFont val="Roboto"/>
      </rPr>
      <t>, it will also appear as an option. By default, this setting is false.</t>
    </r>
  </si>
  <si>
    <r>
      <rPr>
        <sz val="11"/>
        <color theme="1"/>
        <rFont val="Roboto"/>
      </rPr>
      <t xml:space="preserve">English is </t>
    </r>
    <r>
      <rPr>
        <b/>
        <sz val="11"/>
        <color theme="1"/>
        <rFont val="Roboto"/>
      </rPr>
      <t xml:space="preserve">selected </t>
    </r>
    <r>
      <rPr>
        <sz val="11"/>
        <color theme="1"/>
        <rFont val="Roboto"/>
      </rPr>
      <t>by default.</t>
    </r>
  </si>
  <si>
    <t>Select printer from dropdown in 'Select/Scan Printer' field</t>
  </si>
  <si>
    <t>Dropdown shows available printers to select</t>
  </si>
  <si>
    <r>
      <rPr>
        <sz val="11"/>
        <color theme="1"/>
        <rFont val="Roboto"/>
      </rPr>
      <t xml:space="preserve">Click </t>
    </r>
    <r>
      <rPr>
        <b/>
        <sz val="11"/>
        <color theme="1"/>
        <rFont val="Roboto"/>
      </rPr>
      <t xml:space="preserve">Next </t>
    </r>
    <r>
      <rPr>
        <sz val="11"/>
        <color theme="1"/>
        <rFont val="Roboto"/>
      </rPr>
      <t>button</t>
    </r>
  </si>
  <si>
    <t>Screen appears with a yellow box containing confirmation message w/Guardian and Patient Identifiers and Container ID numbers.</t>
  </si>
  <si>
    <t>Below yellow box, a green box appears that confirms labels printed w/printer name.</t>
  </si>
  <si>
    <t>Button to allow reprint appears.</t>
  </si>
  <si>
    <t>Labels print to selected printer.</t>
  </si>
  <si>
    <t>Scenario:  Scanning Patient Barcode When the Mother has Exclusion Dates</t>
  </si>
  <si>
    <r>
      <rPr>
        <sz val="11"/>
        <color theme="1"/>
        <rFont val="Roboto"/>
      </rPr>
      <t xml:space="preserve">Click </t>
    </r>
    <r>
      <rPr>
        <b/>
        <sz val="11"/>
        <color theme="1"/>
        <rFont val="Roboto"/>
      </rPr>
      <t xml:space="preserve">Next </t>
    </r>
    <r>
      <rPr>
        <sz val="11"/>
        <color theme="1"/>
        <rFont val="Roboto"/>
      </rPr>
      <t>Button</t>
    </r>
  </si>
  <si>
    <t>Screen appears with a yellow box containing a Note stating that Guardian has active Exclusion Date ranges, and that milk pumped within these date ranges cannot be received.</t>
  </si>
  <si>
    <t>Screen appears with a yellow box containing confirmation message w/Guardian and Patient Identifiers and Container ID number/s.</t>
  </si>
  <si>
    <t>Scenario Error Testing:  Cicking Next button without scanning the Patient barcode</t>
  </si>
  <si>
    <t>Hard Stop appears with text stating:  Please scan a patient</t>
  </si>
  <si>
    <t>Scenario Error Testing:  Scan an INACTIVE Patient barcode</t>
  </si>
  <si>
    <r>
      <rPr>
        <sz val="11"/>
        <color theme="1"/>
        <rFont val="Roboto"/>
      </rPr>
      <t xml:space="preserve">Scan an </t>
    </r>
    <r>
      <rPr>
        <b/>
        <sz val="11"/>
        <color theme="1"/>
        <rFont val="Roboto"/>
      </rPr>
      <t xml:space="preserve">inactive </t>
    </r>
    <r>
      <rPr>
        <sz val="11"/>
        <color theme="1"/>
        <rFont val="Roboto"/>
      </rPr>
      <t>Patient barcode</t>
    </r>
  </si>
  <si>
    <t>Hard Stop appears with text stating:  The Patient that you selected &lt;scanned barcode&gt; is not active.</t>
  </si>
  <si>
    <t>Scenario Error Testing:  Cicking Next Button Without Filling in Details for Each Container of Milk</t>
  </si>
  <si>
    <t>Volume is 0</t>
  </si>
  <si>
    <r>
      <rPr>
        <sz val="11"/>
        <color rgb="FFBC1010"/>
        <rFont val="Roboto"/>
      </rPr>
      <t xml:space="preserve">Hard Stop: The volume that you entered &lt;Container ID&gt; is required and has to be entered as a positive number.
</t>
    </r>
    <r>
      <rPr>
        <sz val="11"/>
        <color rgb="FF000000"/>
        <rFont val="Roboto"/>
      </rPr>
      <t xml:space="preserve">This hard stop only applies when </t>
    </r>
    <r>
      <rPr>
        <b/>
        <sz val="11"/>
        <color rgb="FF000000"/>
        <rFont val="Roboto"/>
      </rPr>
      <t>mother/receive/require_volume_entered</t>
    </r>
    <r>
      <rPr>
        <sz val="11"/>
        <color rgb="FF000000"/>
        <rFont val="Roboto"/>
      </rPr>
      <t xml:space="preserve"> is set as </t>
    </r>
    <r>
      <rPr>
        <b/>
        <sz val="11"/>
        <color rgb="FF000000"/>
        <rFont val="Roboto"/>
      </rPr>
      <t>false</t>
    </r>
    <r>
      <rPr>
        <sz val="11"/>
        <color rgb="FF000000"/>
        <rFont val="Roboto"/>
      </rPr>
      <t>. By default, this app setting is true.</t>
    </r>
  </si>
  <si>
    <t>Location is empty</t>
  </si>
  <si>
    <r>
      <rPr>
        <sz val="11"/>
        <color rgb="FFBC1010"/>
        <rFont val="Roboto"/>
      </rPr>
      <t xml:space="preserve">Hard Stop: </t>
    </r>
    <r>
      <rPr>
        <sz val="11"/>
        <color rgb="FFBC1010"/>
        <rFont val="Roboto"/>
      </rPr>
      <t>The location field for container &lt;Container ID&gt; cannot be empty.</t>
    </r>
  </si>
  <si>
    <t>Container State is empty</t>
  </si>
  <si>
    <r>
      <rPr>
        <sz val="11"/>
        <color rgb="FFBC1010"/>
        <rFont val="Roboto"/>
      </rPr>
      <t xml:space="preserve">Hard Stop: </t>
    </r>
    <r>
      <rPr>
        <sz val="11"/>
        <color rgb="FFBC1010"/>
        <rFont val="Roboto"/>
      </rPr>
      <t>The container state field for container &lt;Container ID&gt; cannot be empty.</t>
    </r>
  </si>
  <si>
    <t>Hard Stop appears based on above step</t>
  </si>
  <si>
    <t>Scenario Error Testing:  Pumped Date Set to a Invalid Date</t>
  </si>
  <si>
    <t>Pumped Date is set to a future date</t>
  </si>
  <si>
    <t>Selected date is displayed</t>
  </si>
  <si>
    <t>Hard Stop appears with text stating: The container &lt;Container ID&gt; was apparently pumped in the future.</t>
  </si>
  <si>
    <t>Pumped Date is set to a late date</t>
  </si>
  <si>
    <t>Hard Stop appears with text stating: The container &lt;Container ID&gt; cannot be received as it is already expired.</t>
  </si>
  <si>
    <t>Scenario Error Testing:  Receiving Milk - Scanning Invalid Containers and Their Corresponding Hard Stops</t>
  </si>
  <si>
    <t>Scanning a previously received milk container/s</t>
  </si>
  <si>
    <t>Hard Stop; The container(s) have already been received: &lt;Container IDs&gt;</t>
  </si>
  <si>
    <t>Scanning a previously received product barcode</t>
  </si>
  <si>
    <t>Hard Stop: This container &lt;Container ID&gt; cannot be received back into inventory as it has been prepared with formula items.</t>
  </si>
  <si>
    <t xml:space="preserve">Scanning a previously received MBMS barcode </t>
  </si>
  <si>
    <t>Hard Stop: The container that you selected &lt;Container ID&gt; is a donor milk.</t>
  </si>
  <si>
    <t>Scanning a random barcode</t>
  </si>
  <si>
    <t>Hard Stop: The container &lt;Container ID&gt; is not a valid container.</t>
  </si>
  <si>
    <t>Scanning an already disposed container</t>
  </si>
  <si>
    <t>Hard Stop: The container that you selected &lt;Container ID&gt; has already been disposed.</t>
  </si>
  <si>
    <t>Scanning a container that was pumped within the mother's active exclusion dates</t>
  </si>
  <si>
    <t>Hard Stop: The container &lt;Container ID&gt; or one of its sources was pumped within the mother's active exclusion dates.</t>
  </si>
  <si>
    <t>Scanning a container that belongs to an inactive mother</t>
  </si>
  <si>
    <r>
      <rPr>
        <sz val="11"/>
        <color rgb="FFBC1010"/>
        <rFont val="Roboto"/>
      </rPr>
      <t xml:space="preserve">Hard Stop: The guardian that you selected is not active.
</t>
    </r>
    <r>
      <rPr>
        <sz val="11"/>
        <color rgb="FF000000"/>
        <rFont val="Roboto"/>
      </rPr>
      <t xml:space="preserve">This hard stop only applies when </t>
    </r>
    <r>
      <rPr>
        <b/>
        <sz val="11"/>
        <color rgb="FF000000"/>
        <rFont val="Roboto"/>
      </rPr>
      <t>receive/allow_inactive</t>
    </r>
    <r>
      <rPr>
        <sz val="11"/>
        <color rgb="FF000000"/>
        <rFont val="Roboto"/>
      </rPr>
      <t xml:space="preserve"> is set as </t>
    </r>
    <r>
      <rPr>
        <b/>
        <sz val="11"/>
        <color rgb="FF000000"/>
        <rFont val="Roboto"/>
      </rPr>
      <t>false</t>
    </r>
    <r>
      <rPr>
        <sz val="11"/>
        <color rgb="FF000000"/>
        <rFont val="Roboto"/>
      </rPr>
      <t>. By default, this app setting is false.</t>
    </r>
  </si>
  <si>
    <t>Scenario:  Receiving DHM With Milk Bank Management System (MBMS) Label</t>
  </si>
  <si>
    <t>Click on Receive &gt; Receive DHM</t>
  </si>
  <si>
    <t>Receive DHM screen appears</t>
  </si>
  <si>
    <t>Scan MBMS barcode/s into the Scan the Barcode field</t>
  </si>
  <si>
    <t xml:space="preserve">Redirects to the next screen, where the user can scan more donor bottles. </t>
  </si>
  <si>
    <t>Displays the total number of scanned bottles and a list of scanned donor bottle details, with a remove icon for each container.</t>
  </si>
  <si>
    <t>Screen with 'Select Storage Location' dropdown appears</t>
  </si>
  <si>
    <r>
      <rPr>
        <sz val="11"/>
        <color theme="1"/>
        <rFont val="Roboto"/>
      </rPr>
      <t xml:space="preserve">Click the 'Select Storage Location' dropdown and select a freezer from the list
The default freezer selected for the Select Storage Location dropdown matches the default selected in </t>
    </r>
    <r>
      <rPr>
        <b/>
        <sz val="11"/>
        <color theme="1"/>
        <rFont val="Roboto"/>
      </rPr>
      <t>donor/receive/default_storage_location_id app</t>
    </r>
    <r>
      <rPr>
        <sz val="11"/>
        <color theme="1"/>
        <rFont val="Roboto"/>
      </rPr>
      <t xml:space="preserve"> settings </t>
    </r>
  </si>
  <si>
    <t>Freezer location for the Containers is selected</t>
  </si>
  <si>
    <t>Screen appears with green box stating:
New donor Container(s) have been stored in location &lt;location&gt;. Please see below for further details. The barcode(s) for these Container(s) are &lt;ID&gt;.</t>
  </si>
  <si>
    <t>Includes table with Container, Volume, Location, State, and Expiration of all Containers received</t>
  </si>
  <si>
    <t>Blue button icons are included:
- Receive More Donor Milk 
- Reprint Container Barcode Label(s)
- Go to Main Menu</t>
  </si>
  <si>
    <t>Because the expiration for the Containers has not been updated, new labels are not printed for the Containers.</t>
  </si>
  <si>
    <t>Scenario:  Receiving DHM Manually</t>
  </si>
  <si>
    <t>Manually enter the batch number for the conatiner into the 'Scan the Barcode' field</t>
  </si>
  <si>
    <t>Field accepts alphanumeric characters</t>
  </si>
  <si>
    <r>
      <rPr>
        <sz val="11"/>
        <color theme="1"/>
        <rFont val="Roboto"/>
      </rPr>
      <t xml:space="preserve">Select a milk bank from the Enter the Milk Bank dropdown
*Milk bank defaults based on the value in </t>
    </r>
    <r>
      <rPr>
        <b/>
        <sz val="11"/>
        <color theme="1"/>
        <rFont val="Roboto"/>
      </rPr>
      <t xml:space="preserve">default_donor_milk_bank </t>
    </r>
    <r>
      <rPr>
        <sz val="11"/>
        <color theme="1"/>
        <rFont val="Roboto"/>
      </rPr>
      <t>app setting</t>
    </r>
  </si>
  <si>
    <t>Dropdown menu includes all milk banks that the organization accepts milk from.
*The client's default milk bank(s) will be displayed at the top of the list</t>
  </si>
  <si>
    <t>Select expiration date via the 'Select Expiry Date' dropdown fields</t>
  </si>
  <si>
    <t>First dropdown menu contains months, second dropdown menu contains days, third dropdown menu contains years</t>
  </si>
  <si>
    <t>Select expiration time via the 'Select Expiry Time' fields</t>
  </si>
  <si>
    <t>First dropdown menu contains hours, second dropdown menu contains minutes</t>
  </si>
  <si>
    <r>
      <rPr>
        <sz val="11"/>
        <color theme="1"/>
        <rFont val="Roboto"/>
      </rPr>
      <t xml:space="preserve">Enter the volume for each Container in the batch via the 'Volume in each Container' field
*Volume defaults based on the value in </t>
    </r>
    <r>
      <rPr>
        <b/>
        <sz val="11"/>
        <color theme="1"/>
        <rFont val="Roboto"/>
      </rPr>
      <t>default_donor_volume</t>
    </r>
    <r>
      <rPr>
        <sz val="11"/>
        <color theme="1"/>
        <rFont val="Roboto"/>
      </rPr>
      <t xml:space="preserve"> app setting
*Volume for each container depends in </t>
    </r>
    <r>
      <rPr>
        <b/>
        <sz val="11"/>
        <color theme="1"/>
        <rFont val="Roboto"/>
      </rPr>
      <t>donor/receive/use_oz_measurement</t>
    </r>
    <r>
      <rPr>
        <sz val="11"/>
        <color theme="1"/>
        <rFont val="Roboto"/>
      </rPr>
      <t xml:space="preserve"> app setting</t>
    </r>
  </si>
  <si>
    <t>Field accepts numeric characters</t>
  </si>
  <si>
    <t>Select Calories/Oz from the dropdown list</t>
  </si>
  <si>
    <r>
      <rPr>
        <sz val="11"/>
        <color theme="1"/>
        <rFont val="Roboto"/>
      </rPr>
      <t xml:space="preserve">Calories/Oz value should be the same to </t>
    </r>
    <r>
      <rPr>
        <b/>
        <sz val="11"/>
        <color theme="1"/>
        <rFont val="Roboto"/>
      </rPr>
      <t xml:space="preserve">cal_per_ui </t>
    </r>
    <r>
      <rPr>
        <sz val="11"/>
        <color theme="1"/>
        <rFont val="Roboto"/>
      </rPr>
      <t xml:space="preserve">app setting
Calories/Oz field is only displayed when </t>
    </r>
    <r>
      <rPr>
        <b/>
        <sz val="11"/>
        <color theme="1"/>
        <rFont val="Roboto"/>
      </rPr>
      <t xml:space="preserve">donor/track_cal_oz = true
</t>
    </r>
    <r>
      <rPr>
        <sz val="11"/>
        <color theme="1"/>
        <rFont val="Roboto"/>
      </rPr>
      <t xml:space="preserve">Calories/Oz is filled in by default based on the </t>
    </r>
    <r>
      <rPr>
        <b/>
        <sz val="11"/>
        <color theme="1"/>
        <rFont val="Roboto"/>
      </rPr>
      <t>donor/default_cal_oz</t>
    </r>
    <r>
      <rPr>
        <sz val="11"/>
        <color theme="1"/>
        <rFont val="Roboto"/>
      </rPr>
      <t xml:space="preserve"> app setting</t>
    </r>
  </si>
  <si>
    <t>Select the number of labels via the 'Number of labels to print' dropdown</t>
  </si>
  <si>
    <r>
      <rPr>
        <sz val="11"/>
        <color theme="1"/>
        <rFont val="Roboto"/>
      </rPr>
      <t xml:space="preserve">Dropdown shows </t>
    </r>
    <r>
      <rPr>
        <b/>
        <sz val="11"/>
        <color theme="1"/>
        <rFont val="Roboto"/>
      </rPr>
      <t>"1, 2, 3, 4, 5, 10, 15, 20, 25"</t>
    </r>
    <r>
      <rPr>
        <b/>
        <sz val="11"/>
        <color theme="1"/>
        <rFont val="Roboto"/>
      </rPr>
      <t xml:space="preserve"> </t>
    </r>
  </si>
  <si>
    <t>Confirm selected printer in 'Select/Scan Printer' field</t>
  </si>
  <si>
    <t>The 'Select/Scan Printer' field contains the user's default printer</t>
  </si>
  <si>
    <r>
      <rPr>
        <sz val="11"/>
        <color theme="1"/>
        <rFont val="Roboto"/>
      </rPr>
      <t xml:space="preserve">Includes table with Container, Volume, Location, State, and Expiration of all Containers received. Container IDs begin with the prefix chosen by the hospital for </t>
    </r>
    <r>
      <rPr>
        <sz val="11"/>
        <color theme="1"/>
        <rFont val="Roboto"/>
      </rPr>
      <t>DHM</t>
    </r>
    <r>
      <rPr>
        <sz val="11"/>
        <color theme="1"/>
        <rFont val="Roboto"/>
      </rPr>
      <t xml:space="preserve"> Containers </t>
    </r>
    <r>
      <rPr>
        <sz val="11"/>
        <color theme="1"/>
        <rFont val="Roboto"/>
      </rPr>
      <t>(for example, DHM).</t>
    </r>
  </si>
  <si>
    <r>
      <rPr>
        <sz val="11"/>
        <color theme="1"/>
        <rFont val="Roboto"/>
      </rPr>
      <t xml:space="preserve">Blue button icons are included:
- Receive More </t>
    </r>
    <r>
      <rPr>
        <sz val="11"/>
        <color theme="1"/>
        <rFont val="Roboto"/>
      </rPr>
      <t>DHM</t>
    </r>
    <r>
      <rPr>
        <sz val="11"/>
        <color theme="1"/>
        <rFont val="Roboto"/>
      </rPr>
      <t xml:space="preserve"> 
- Reprint Container Barcode Label(s)
- Go to Main Menu</t>
    </r>
  </si>
  <si>
    <t>Printed labels meets the requirements</t>
  </si>
  <si>
    <t>Scenario: Prepare EBM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</si>
  <si>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EBM Order &amp; Receive EBM Container</t>
    </r>
  </si>
  <si>
    <r>
      <rPr>
        <sz val="11"/>
        <color theme="1"/>
        <rFont val="Arial"/>
      </rPr>
      <t xml:space="preserve">Scan EBM </t>
    </r>
    <r>
      <rPr>
        <b/>
        <sz val="11"/>
        <color theme="1"/>
        <rFont val="Arial"/>
      </rPr>
      <t>Container</t>
    </r>
  </si>
  <si>
    <r>
      <rPr>
        <b/>
        <sz val="11"/>
        <color theme="1"/>
        <rFont val="Arial"/>
      </rPr>
      <t>Current Behavior</t>
    </r>
    <r>
      <rPr>
        <sz val="11"/>
        <color theme="1"/>
        <rFont val="Arial"/>
      </rPr>
      <t xml:space="preserve">
Select a Patient is displayed
Containers or Products (if required) card is displayed
Order List will be displayed</t>
    </r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</si>
  <si>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Prepare  </t>
    </r>
    <r>
      <rPr>
        <sz val="11"/>
        <color theme="1"/>
        <rFont val="Arial"/>
      </rPr>
      <t>on EBM only Order</t>
    </r>
  </si>
  <si>
    <t>Redirects Prepare Page Screen 2</t>
  </si>
  <si>
    <t>Scan additional container on prepare screen 2 if needed</t>
  </si>
  <si>
    <r>
      <rPr>
        <sz val="11"/>
        <color theme="1"/>
        <rFont val="Arial"/>
      </rPr>
      <t xml:space="preserve">
When the app setting </t>
    </r>
    <r>
      <rPr>
        <b/>
        <sz val="11"/>
        <color theme="1"/>
        <rFont val="Arial"/>
      </rPr>
      <t xml:space="preserve">prepare/allow_override_bottle_volumes_ebm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>TRUE</t>
    </r>
    <r>
      <rPr>
        <sz val="11"/>
        <color theme="1"/>
        <rFont val="Arial"/>
      </rPr>
      <t xml:space="preserve"> you will be able to override the available volume of the scanned container.
When </t>
    </r>
    <r>
      <rPr>
        <b/>
        <sz val="11"/>
        <color theme="1"/>
        <rFont val="Arial"/>
      </rPr>
      <t xml:space="preserve">prepare/allow_change_milk_type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>TRUE</t>
    </r>
    <r>
      <rPr>
        <sz val="11"/>
        <color theme="1"/>
        <rFont val="Arial"/>
      </rPr>
      <t xml:space="preserve"> it will allow you to select a milk type. This should be only set to TRUE when </t>
    </r>
    <r>
      <rPr>
        <b/>
        <sz val="11"/>
        <color theme="1"/>
        <rFont val="Arial"/>
      </rPr>
      <t>system/use_milktypes_table</t>
    </r>
    <r>
      <rPr>
        <sz val="11"/>
        <color theme="1"/>
        <rFont val="Arial"/>
      </rPr>
      <t xml:space="preserve"> is set to TRUE, if left false (as per default) dropdown will be blank in prepare.
When </t>
    </r>
    <r>
      <rPr>
        <b/>
        <sz val="11"/>
        <color theme="1"/>
        <rFont val="Arial"/>
      </rPr>
      <t>prepare/allow_caloric_density_change_ebm</t>
    </r>
    <r>
      <rPr>
        <sz val="11"/>
        <color theme="1"/>
        <rFont val="Arial"/>
      </rPr>
      <t xml:space="preserve"> is set to </t>
    </r>
    <r>
      <rPr>
        <b/>
        <sz val="11"/>
        <color theme="1"/>
        <rFont val="Arial"/>
      </rPr>
      <t xml:space="preserve">TRUE </t>
    </r>
    <r>
      <rPr>
        <sz val="11"/>
        <color theme="1"/>
        <rFont val="Arial"/>
      </rPr>
      <t>calories dropdown selection is displayed</t>
    </r>
  </si>
  <si>
    <r>
      <rPr>
        <sz val="11"/>
        <color theme="1"/>
        <rFont val="Arial"/>
      </rPr>
      <t>Select</t>
    </r>
    <r>
      <rPr>
        <b/>
        <sz val="11"/>
        <color theme="1"/>
        <rFont val="Arial"/>
      </rPr>
      <t xml:space="preserve"> Restore To</t>
    </r>
  </si>
  <si>
    <r>
      <rPr>
        <sz val="11"/>
        <color theme="1"/>
        <rFont val="Arial"/>
      </rPr>
      <t xml:space="preserve">When the scanned container volume has remaining quantity, you should be able to select a </t>
    </r>
    <r>
      <rPr>
        <b/>
        <sz val="11"/>
        <color theme="1"/>
        <rFont val="Arial"/>
      </rPr>
      <t>Restore To</t>
    </r>
    <r>
      <rPr>
        <sz val="11"/>
        <color theme="1"/>
        <rFont val="Arial"/>
      </rPr>
      <t xml:space="preserve">.
</t>
    </r>
    <r>
      <rPr>
        <b/>
        <sz val="11"/>
        <color theme="1"/>
        <rFont val="Arial"/>
      </rPr>
      <t xml:space="preserve">NOTE: 
</t>
    </r>
    <r>
      <rPr>
        <sz val="11"/>
        <color theme="1"/>
        <rFont val="Arial"/>
      </rPr>
      <t xml:space="preserve">When </t>
    </r>
    <r>
      <rPr>
        <b/>
        <sz val="11"/>
        <color theme="1"/>
        <rFont val="Arial"/>
      </rPr>
      <t xml:space="preserve">prepare/allow_refreeze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 xml:space="preserve">TRUE </t>
    </r>
    <r>
      <rPr>
        <sz val="11"/>
        <color theme="1"/>
        <rFont val="Arial"/>
      </rPr>
      <t>and 1 of the scanned container state is thawed or frozen</t>
    </r>
    <r>
      <rPr>
        <b/>
        <sz val="11"/>
        <color theme="1"/>
        <rFont val="Arial"/>
      </rPr>
      <t xml:space="preserve"> </t>
    </r>
    <r>
      <rPr>
        <sz val="11"/>
        <color theme="1"/>
        <rFont val="Arial"/>
      </rPr>
      <t>it will allow you to restore the remaining plain milk to be stored to a freezer or Deep Freezer and the expiry date will also be changed.
When the app setting</t>
    </r>
    <r>
      <rPr>
        <b/>
        <sz val="11"/>
        <color theme="1"/>
        <rFont val="Arial"/>
      </rPr>
      <t xml:space="preserve"> prepare/remaining_plain_location/use_dispose_as_default </t>
    </r>
    <r>
      <rPr>
        <sz val="11"/>
        <color theme="1"/>
        <rFont val="Arial"/>
      </rPr>
      <t xml:space="preserve">to </t>
    </r>
    <r>
      <rPr>
        <b/>
        <sz val="11"/>
        <color theme="1"/>
        <rFont val="Arial"/>
      </rPr>
      <t xml:space="preserve">TRUE, </t>
    </r>
    <r>
      <rPr>
        <sz val="11"/>
        <color theme="1"/>
        <rFont val="Arial"/>
      </rPr>
      <t>the restore to drop down default value is dispose.</t>
    </r>
  </si>
  <si>
    <r>
      <rPr>
        <sz val="11"/>
        <color theme="1"/>
        <rFont val="Arial"/>
      </rPr>
      <t xml:space="preserve">In </t>
    </r>
    <r>
      <rPr>
        <b/>
        <sz val="11"/>
        <color theme="1"/>
        <rFont val="Arial"/>
      </rPr>
      <t>Prepped Containers</t>
    </r>
    <r>
      <rPr>
        <sz val="11"/>
        <color theme="1"/>
        <rFont val="Arial"/>
      </rPr>
      <t>, select a storage location and number of container/s.</t>
    </r>
  </si>
  <si>
    <r>
      <rPr>
        <sz val="11"/>
        <color theme="1"/>
        <rFont val="Arial"/>
      </rPr>
      <t xml:space="preserve">Selected storage location and number of container/s should be displayed.
</t>
    </r>
    <r>
      <rPr>
        <b/>
        <sz val="11"/>
        <color theme="1"/>
        <rFont val="Arial"/>
      </rPr>
      <t xml:space="preserve">NOTE :
</t>
    </r>
    <r>
      <rPr>
        <sz val="11"/>
        <color theme="1"/>
        <rFont val="Arial"/>
      </rPr>
      <t xml:space="preserve">The count of prepped containers will depend on the </t>
    </r>
    <r>
      <rPr>
        <b/>
        <sz val="11"/>
        <color theme="1"/>
        <rFont val="Arial"/>
      </rPr>
      <t>feed frequency</t>
    </r>
    <r>
      <rPr>
        <sz val="11"/>
        <color theme="1"/>
        <rFont val="Arial"/>
      </rPr>
      <t xml:space="preserve">, otherwise the default prepped container count is 1. 
If </t>
    </r>
    <r>
      <rPr>
        <b/>
        <sz val="11"/>
        <color theme="1"/>
        <rFont val="Arial"/>
      </rPr>
      <t xml:space="preserve">prepare/force_choose_location </t>
    </r>
    <r>
      <rPr>
        <sz val="11"/>
        <color theme="1"/>
        <rFont val="Arial"/>
      </rPr>
      <t xml:space="preserve">is set to TRUE, user should select a storage location for prepped containers.
When </t>
    </r>
    <r>
      <rPr>
        <b/>
        <sz val="11"/>
        <color theme="1"/>
        <rFont val="Arial"/>
      </rPr>
      <t xml:space="preserve">prepare/allow_refreeze </t>
    </r>
    <r>
      <rPr>
        <sz val="11"/>
        <color theme="1"/>
        <rFont val="Arial"/>
      </rPr>
      <t>is set to TRUE and 1 of the scanned container state is thawed or frozen it will allow you to restore the remaining plain milk to be stored to a freezer or Deep Freezer and the expiry date will also be changed.</t>
    </r>
  </si>
  <si>
    <r>
      <rPr>
        <sz val="11"/>
        <color theme="1"/>
        <rFont val="Arial"/>
      </rPr>
      <t xml:space="preserve">In </t>
    </r>
    <r>
      <rPr>
        <b/>
        <sz val="11"/>
        <color theme="1"/>
        <rFont val="Arial"/>
      </rPr>
      <t>Prepped volume</t>
    </r>
    <r>
      <rPr>
        <sz val="11"/>
        <color theme="1"/>
        <rFont val="Arial"/>
      </rPr>
      <t xml:space="preserve"> per container, user can choose to input a volume per container.</t>
    </r>
  </si>
  <si>
    <r>
      <rPr>
        <sz val="11"/>
        <color theme="1"/>
        <rFont val="Arial"/>
      </rPr>
      <t xml:space="preserve">If user input a prepped volume less than the ordered volume, user can either dispose remaining prepared by cheking the check box near the </t>
    </r>
    <r>
      <rPr>
        <b/>
        <sz val="11"/>
        <color theme="1"/>
        <rFont val="Arial"/>
      </rPr>
      <t>Remaining Prepared - Dispose?</t>
    </r>
    <r>
      <rPr>
        <sz val="11"/>
        <color theme="1"/>
        <rFont val="Arial"/>
      </rPr>
      <t xml:space="preserve">, or store the prepared feed in a additional container. If </t>
    </r>
    <r>
      <rPr>
        <b/>
        <sz val="11"/>
        <color theme="1"/>
        <rFont val="Arial"/>
      </rPr>
      <t xml:space="preserve">Remaining Prepared - Dispose? </t>
    </r>
    <r>
      <rPr>
        <sz val="11"/>
        <color theme="1"/>
        <rFont val="Arial"/>
      </rPr>
      <t xml:space="preserve">check box was unchecked, it will generate additional label for </t>
    </r>
    <r>
      <rPr>
        <b/>
        <sz val="11"/>
        <color theme="1"/>
        <rFont val="Arial"/>
      </rPr>
      <t>Remaining Prepared</t>
    </r>
    <r>
      <rPr>
        <sz val="11"/>
        <color theme="1"/>
        <rFont val="Arial"/>
      </rPr>
      <t>.</t>
    </r>
  </si>
  <si>
    <r>
      <rPr>
        <sz val="11"/>
        <color theme="1"/>
        <rFont val="Arial"/>
      </rPr>
      <t xml:space="preserve">Select a </t>
    </r>
    <r>
      <rPr>
        <b/>
        <sz val="11"/>
        <color theme="1"/>
        <rFont val="Arial"/>
      </rPr>
      <t>Printer</t>
    </r>
  </si>
  <si>
    <t>User should select the correct printer, so that the labels should be printed.</t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</si>
  <si>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Complete Prep &amp; Print </t>
    </r>
    <r>
      <rPr>
        <sz val="11"/>
        <color theme="1"/>
        <rFont val="Arial"/>
      </rPr>
      <t>button.</t>
    </r>
  </si>
  <si>
    <r>
      <rPr>
        <sz val="11"/>
        <color theme="1"/>
        <rFont val="Arial"/>
      </rPr>
      <t xml:space="preserve">Redirects Prepare Page, showing the details for prepped container/s, and restored container(if any).
</t>
    </r>
    <r>
      <rPr>
        <b/>
        <sz val="11"/>
        <color theme="1"/>
        <rFont val="Arial"/>
      </rPr>
      <t xml:space="preserve">NOTE :
</t>
    </r>
    <r>
      <rPr>
        <sz val="11"/>
        <color theme="1"/>
        <rFont val="Arial"/>
      </rPr>
      <t xml:space="preserve">When </t>
    </r>
    <r>
      <rPr>
        <b/>
        <sz val="11"/>
        <color theme="1"/>
        <rFont val="Arial"/>
      </rPr>
      <t xml:space="preserve">prepare/restore_to_new_bottle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 xml:space="preserve">TRUE </t>
    </r>
    <r>
      <rPr>
        <sz val="11"/>
        <color theme="1"/>
        <rFont val="Arial"/>
      </rPr>
      <t>it will generate a new label for restored plain milk.</t>
    </r>
  </si>
  <si>
    <t>Scenario: Prepare DBM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</si>
  <si>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DBM Order &amp; Receive DBM Container</t>
    </r>
  </si>
  <si>
    <r>
      <rPr>
        <sz val="11"/>
        <color theme="1"/>
        <rFont val="Arial"/>
      </rPr>
      <t xml:space="preserve">Scan DBM </t>
    </r>
    <r>
      <rPr>
        <b/>
        <sz val="11"/>
        <color theme="1"/>
        <rFont val="Arial"/>
      </rPr>
      <t>Container</t>
    </r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</si>
  <si>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Prepare  </t>
    </r>
    <r>
      <rPr>
        <sz val="11"/>
        <color theme="1"/>
        <rFont val="Arial"/>
      </rPr>
      <t>on DBM only Order</t>
    </r>
  </si>
  <si>
    <t>Scenario: Prepare EBM or DBM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</si>
  <si>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EBM or DBM Order &amp; Receive EBM and DBM Container</t>
    </r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</si>
  <si>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Prepare  </t>
    </r>
    <r>
      <rPr>
        <sz val="11"/>
        <color theme="1"/>
        <rFont val="Arial"/>
      </rPr>
      <t>on EBM or DBM Order</t>
    </r>
  </si>
  <si>
    <r>
      <rPr>
        <sz val="11"/>
        <color theme="1"/>
        <rFont val="Arial"/>
      </rPr>
      <t xml:space="preserve">
When the app setting </t>
    </r>
    <r>
      <rPr>
        <b/>
        <sz val="11"/>
        <color theme="1"/>
        <rFont val="Arial"/>
      </rPr>
      <t xml:space="preserve">prepare/allow_override_bottle_volumes_ebm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>TRUE</t>
    </r>
    <r>
      <rPr>
        <sz val="11"/>
        <color theme="1"/>
        <rFont val="Arial"/>
      </rPr>
      <t xml:space="preserve"> you will be able to override the available volume of the scanned container.
When </t>
    </r>
    <r>
      <rPr>
        <b/>
        <sz val="11"/>
        <color theme="1"/>
        <rFont val="Arial"/>
      </rPr>
      <t xml:space="preserve">prepare/allow_change_milk_type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>TRUE</t>
    </r>
    <r>
      <rPr>
        <sz val="11"/>
        <color theme="1"/>
        <rFont val="Arial"/>
      </rPr>
      <t xml:space="preserve"> it will allow you to select a milk type. This should be only set to TRUE when </t>
    </r>
    <r>
      <rPr>
        <b/>
        <sz val="11"/>
        <color theme="1"/>
        <rFont val="Arial"/>
      </rPr>
      <t>system/use_milktypes_table</t>
    </r>
    <r>
      <rPr>
        <sz val="11"/>
        <color theme="1"/>
        <rFont val="Arial"/>
      </rPr>
      <t xml:space="preserve"> is set to TRUE, if left false (as per default) dropdown will be blank in prepare.
When </t>
    </r>
    <r>
      <rPr>
        <b/>
        <sz val="11"/>
        <color theme="1"/>
        <rFont val="Arial"/>
      </rPr>
      <t>prepare/allow_caloric_density_change_ebm</t>
    </r>
    <r>
      <rPr>
        <sz val="11"/>
        <color theme="1"/>
        <rFont val="Arial"/>
      </rPr>
      <t xml:space="preserve"> is set to </t>
    </r>
    <r>
      <rPr>
        <b/>
        <sz val="11"/>
        <color theme="1"/>
        <rFont val="Arial"/>
      </rPr>
      <t xml:space="preserve">TRUE </t>
    </r>
    <r>
      <rPr>
        <sz val="11"/>
        <color theme="1"/>
        <rFont val="Arial"/>
      </rPr>
      <t xml:space="preserve">calories dropdown selection is displayed
Scanning DBM on Prepare Screen 2 while </t>
    </r>
    <r>
      <rPr>
        <b/>
        <sz val="11"/>
        <color theme="1"/>
        <rFont val="Arial"/>
      </rPr>
      <t xml:space="preserve">prepare/ebm_and_dbm_in_same_prep_action = STOP_HARD
</t>
    </r>
    <r>
      <rPr>
        <sz val="11"/>
        <color theme="1"/>
        <rFont val="Arial"/>
      </rPr>
      <t xml:space="preserve">Hard Stop will appear stating
</t>
    </r>
    <r>
      <rPr>
        <b/>
        <sz val="11"/>
        <color rgb="FFFF0000"/>
        <rFont val="Arial"/>
      </rPr>
      <t>EHM and DHM milk cannot be prepared together.</t>
    </r>
  </si>
  <si>
    <t>Scenario: Prepare Product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</si>
  <si>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RTU Order, Formula Consent, Receive RTU</t>
    </r>
  </si>
  <si>
    <r>
      <rPr>
        <sz val="11"/>
        <color theme="1"/>
        <rFont val="Arial"/>
      </rPr>
      <t xml:space="preserve">Scan Formula </t>
    </r>
    <r>
      <rPr>
        <b/>
        <sz val="11"/>
        <color theme="1"/>
        <rFont val="Arial"/>
      </rPr>
      <t>Container</t>
    </r>
  </si>
  <si>
    <r>
      <rPr>
        <sz val="11"/>
        <color theme="1"/>
        <rFont val="Arial"/>
      </rPr>
      <t xml:space="preserve">Click </t>
    </r>
    <r>
      <rPr>
        <b/>
        <sz val="11"/>
        <color theme="1"/>
        <rFont val="Arial"/>
      </rPr>
      <t xml:space="preserve">Prepare </t>
    </r>
    <r>
      <rPr>
        <sz val="11"/>
        <color theme="1"/>
        <rFont val="Arial"/>
      </rPr>
      <t>on Formula without fortifier order</t>
    </r>
  </si>
  <si>
    <t>Redirects Prepare Page</t>
  </si>
  <si>
    <r>
      <rPr>
        <sz val="11"/>
        <color theme="1"/>
        <rFont val="Arial"/>
      </rPr>
      <t xml:space="preserve">When you scan a correct product for the patient, product barcode will be populated under the item name, otherwise you will encounter a hard stop.
</t>
    </r>
    <r>
      <rPr>
        <b/>
        <sz val="11"/>
        <color theme="1"/>
        <rFont val="Arial"/>
      </rPr>
      <t xml:space="preserve">NOTE :
</t>
    </r>
    <r>
      <rPr>
        <sz val="11"/>
        <color theme="1"/>
        <rFont val="Arial"/>
      </rPr>
      <t xml:space="preserve">When </t>
    </r>
    <r>
      <rPr>
        <b/>
        <sz val="11"/>
        <color theme="1"/>
        <rFont val="Arial"/>
      </rPr>
      <t xml:space="preserve">prepare/allow_dispense_rtf </t>
    </r>
    <r>
      <rPr>
        <sz val="11"/>
        <color theme="1"/>
        <rFont val="Arial"/>
      </rPr>
      <t xml:space="preserve">is set to </t>
    </r>
    <r>
      <rPr>
        <b/>
        <sz val="11"/>
        <color theme="1"/>
        <rFont val="Arial"/>
      </rPr>
      <t>TRUE</t>
    </r>
    <r>
      <rPr>
        <sz val="11"/>
        <color theme="1"/>
        <rFont val="Arial"/>
      </rPr>
      <t xml:space="preserve">, this enables dispensing RTF or handling plain RTF as standard Prep. Enable for Hospitals who indicate they send full RTF containers to a Patient room/Unit, assigned specific to that Patient-- If they do this and we set to TRUE-- each scanned container of RTF will print a prepared label without setting expiration to open.
</t>
    </r>
  </si>
  <si>
    <r>
      <rPr>
        <sz val="11"/>
        <color theme="1"/>
        <rFont val="Arial"/>
      </rPr>
      <t xml:space="preserve">When the scanned product volume has remaining quantity, you should be able to select a </t>
    </r>
    <r>
      <rPr>
        <b/>
        <sz val="11"/>
        <color theme="1"/>
        <rFont val="Arial"/>
      </rPr>
      <t>Restore To</t>
    </r>
    <r>
      <rPr>
        <sz val="11"/>
        <color theme="1"/>
        <rFont val="Arial"/>
      </rPr>
      <t>.</t>
    </r>
  </si>
  <si>
    <r>
      <rPr>
        <sz val="11"/>
        <color theme="1"/>
        <rFont val="Arial"/>
      </rPr>
      <t xml:space="preserve">Selected storage location and number of container/s should be displayed.
</t>
    </r>
    <r>
      <rPr>
        <b/>
        <sz val="11"/>
        <color theme="1"/>
        <rFont val="Arial"/>
      </rPr>
      <t xml:space="preserve">NOTE :
</t>
    </r>
    <r>
      <rPr>
        <sz val="11"/>
        <color theme="1"/>
        <rFont val="Arial"/>
      </rPr>
      <t xml:space="preserve">The count of prepped containers will depend on the </t>
    </r>
    <r>
      <rPr>
        <b/>
        <sz val="11"/>
        <color theme="1"/>
        <rFont val="Arial"/>
      </rPr>
      <t>feed frequency</t>
    </r>
    <r>
      <rPr>
        <sz val="11"/>
        <color theme="1"/>
        <rFont val="Arial"/>
      </rPr>
      <t xml:space="preserve">, otherwise the default prepped container count is 1. 
If </t>
    </r>
    <r>
      <rPr>
        <b/>
        <sz val="11"/>
        <color theme="1"/>
        <rFont val="Arial"/>
      </rPr>
      <t xml:space="preserve">prepare/force_choose_location </t>
    </r>
    <r>
      <rPr>
        <sz val="11"/>
        <color theme="1"/>
        <rFont val="Arial"/>
      </rPr>
      <t>is set to TRUE, user should select a storage location for prepped containers.</t>
    </r>
  </si>
  <si>
    <t>Redirects Prepare Page, showing the details for prepped container/s, and restored container(if any).</t>
  </si>
  <si>
    <t>Scenario: Prepare Product with Fortifier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</si>
  <si>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RTU + Fortifier Order, Formula Consent, Receive RTU &amp; Receive Fortifiers</t>
    </r>
  </si>
  <si>
    <r>
      <rPr>
        <sz val="11"/>
        <color rgb="FF000000"/>
        <rFont val="Arial"/>
      </rPr>
      <t xml:space="preserve">Click </t>
    </r>
    <r>
      <rPr>
        <b/>
        <sz val="11"/>
        <color rgb="FF000000"/>
        <rFont val="Arial"/>
      </rPr>
      <t xml:space="preserve">Prepare </t>
    </r>
    <r>
      <rPr>
        <sz val="11"/>
        <color rgb="FF000000"/>
        <rFont val="Arial"/>
      </rPr>
      <t>on RTU + Fortifier Order</t>
    </r>
  </si>
  <si>
    <r>
      <rPr>
        <sz val="11"/>
        <color rgb="FF000000"/>
        <rFont val="Arial"/>
      </rPr>
      <t xml:space="preserve">Scan </t>
    </r>
    <r>
      <rPr>
        <b/>
        <sz val="11"/>
        <color rgb="FF000000"/>
        <rFont val="Arial"/>
      </rPr>
      <t>Fortifier Barcodes</t>
    </r>
  </si>
  <si>
    <t>When you scan a correct product for the patient, product barcode will be populated under the item name, otherwise you will encounter a hard stop.</t>
  </si>
  <si>
    <r>
      <rPr>
        <sz val="11"/>
        <color rgb="FF000000"/>
        <rFont val="Arial"/>
      </rPr>
      <t xml:space="preserve">When the scanned product volume has remaining quantity, you should be able to select a </t>
    </r>
    <r>
      <rPr>
        <b/>
        <sz val="11"/>
        <color rgb="FF000000"/>
        <rFont val="Arial"/>
      </rPr>
      <t>Restore To</t>
    </r>
    <r>
      <rPr>
        <sz val="11"/>
        <color rgb="FF000000"/>
        <rFont val="Arial"/>
      </rPr>
      <t>.</t>
    </r>
  </si>
  <si>
    <r>
      <rPr>
        <sz val="11"/>
        <color rgb="FF000000"/>
        <rFont val="Arial"/>
      </rPr>
      <t xml:space="preserve">Selected storage location and number of container/s should be displayed.
</t>
    </r>
    <r>
      <rPr>
        <b/>
        <sz val="11"/>
        <color rgb="FF000000"/>
        <rFont val="Arial"/>
      </rPr>
      <t xml:space="preserve">NOTE :
</t>
    </r>
    <r>
      <rPr>
        <sz val="11"/>
        <color rgb="FF000000"/>
        <rFont val="Arial"/>
      </rPr>
      <t xml:space="preserve">The count of prepped containers will depend on the </t>
    </r>
    <r>
      <rPr>
        <b/>
        <sz val="11"/>
        <color rgb="FF000000"/>
        <rFont val="Arial"/>
      </rPr>
      <t>feed frequency</t>
    </r>
    <r>
      <rPr>
        <sz val="11"/>
        <color rgb="FF000000"/>
        <rFont val="Arial"/>
      </rPr>
      <t xml:space="preserve">, otherwise the default prepped container count is 1. 
If </t>
    </r>
    <r>
      <rPr>
        <b/>
        <sz val="11"/>
        <color rgb="FF000000"/>
        <rFont val="Arial"/>
      </rPr>
      <t xml:space="preserve">prepare/force_choose_location </t>
    </r>
    <r>
      <rPr>
        <sz val="11"/>
        <color rgb="FF000000"/>
        <rFont val="Arial"/>
      </rPr>
      <t>is set to TRUE, user should select a storage location for prepped containers.</t>
    </r>
  </si>
  <si>
    <r>
      <rPr>
        <sz val="11"/>
        <color rgb="FF000000"/>
        <rFont val="Arial"/>
      </rPr>
      <t xml:space="preserve">In </t>
    </r>
    <r>
      <rPr>
        <b/>
        <sz val="11"/>
        <color rgb="FF000000"/>
        <rFont val="Arial"/>
      </rPr>
      <t>Prepped volume</t>
    </r>
    <r>
      <rPr>
        <sz val="11"/>
        <color rgb="FF000000"/>
        <rFont val="Arial"/>
      </rPr>
      <t xml:space="preserve"> per container, user can choose to input a volume per container.</t>
    </r>
  </si>
  <si>
    <r>
      <rPr>
        <sz val="11"/>
        <color rgb="FF000000"/>
        <rFont val="Arial"/>
      </rPr>
      <t xml:space="preserve">If user input a prepped volume less than the ordered volume, user can either dispose remaining prepared by cheking the check box near the </t>
    </r>
    <r>
      <rPr>
        <b/>
        <sz val="11"/>
        <color rgb="FF000000"/>
        <rFont val="Arial"/>
      </rPr>
      <t>Remaining Prepared - Dispose?</t>
    </r>
    <r>
      <rPr>
        <sz val="11"/>
        <color rgb="FF000000"/>
        <rFont val="Arial"/>
      </rPr>
      <t xml:space="preserve">, or store the prepared feed in a additional container. If </t>
    </r>
    <r>
      <rPr>
        <b/>
        <sz val="11"/>
        <color rgb="FF000000"/>
        <rFont val="Arial"/>
      </rPr>
      <t xml:space="preserve">Remaining Prepared - Dispose? </t>
    </r>
    <r>
      <rPr>
        <sz val="11"/>
        <color rgb="FF000000"/>
        <rFont val="Arial"/>
      </rPr>
      <t xml:space="preserve">check box was unchecked, it will generate additional label for </t>
    </r>
    <r>
      <rPr>
        <b/>
        <sz val="11"/>
        <color rgb="FF000000"/>
        <rFont val="Arial"/>
      </rPr>
      <t>Remaining Prepared</t>
    </r>
    <r>
      <rPr>
        <sz val="11"/>
        <color rgb="FF000000"/>
        <rFont val="Arial"/>
      </rPr>
      <t>.</t>
    </r>
  </si>
  <si>
    <r>
      <rPr>
        <sz val="11"/>
        <color rgb="FF000000"/>
        <rFont val="Arial"/>
      </rPr>
      <t xml:space="preserve">Click </t>
    </r>
    <r>
      <rPr>
        <b/>
        <sz val="11"/>
        <color rgb="FF000000"/>
        <rFont val="Arial"/>
      </rPr>
      <t xml:space="preserve">Complete Prep &amp; Print </t>
    </r>
    <r>
      <rPr>
        <sz val="11"/>
        <color rgb="FF000000"/>
        <rFont val="Arial"/>
      </rPr>
      <t>button.</t>
    </r>
  </si>
  <si>
    <t>Scenario: Prepare Product with Fortifier and Modular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</si>
  <si>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RTU + Fortifier + Modular Order, Formula Consent, Receive RTU &amp; Receive Fortifier and Modular Product</t>
    </r>
  </si>
  <si>
    <r>
      <rPr>
        <sz val="11"/>
        <color rgb="FF000000"/>
        <rFont val="Arial"/>
      </rPr>
      <t xml:space="preserve">Click Prepare on </t>
    </r>
    <r>
      <rPr>
        <b/>
        <sz val="11"/>
        <color rgb="FF000000"/>
        <rFont val="Arial"/>
      </rPr>
      <t>RTU + Fortifier + Modular</t>
    </r>
  </si>
  <si>
    <t>Redirects Prepare Page screen 2</t>
  </si>
  <si>
    <t>Input Modular volume</t>
  </si>
  <si>
    <r>
      <rPr>
        <sz val="11"/>
        <color rgb="FF000000"/>
        <rFont val="Arial"/>
      </rPr>
      <t xml:space="preserve">Applicable when </t>
    </r>
    <r>
      <rPr>
        <b/>
        <sz val="11"/>
        <color rgb="FF000000"/>
        <rFont val="Arial"/>
      </rPr>
      <t xml:space="preserve">manual_orm/track_modular_volume = MODULAR_NO_TRACKING
</t>
    </r>
    <r>
      <rPr>
        <sz val="11"/>
        <color rgb="FF0000FF"/>
        <rFont val="Arial"/>
      </rPr>
      <t>Default (Can be change on the SmokeTestingData excel file)</t>
    </r>
    <r>
      <rPr>
        <sz val="11"/>
        <color rgb="FF000000"/>
        <rFont val="Arial"/>
      </rPr>
      <t xml:space="preserve">
</t>
    </r>
    <r>
      <rPr>
        <b/>
        <sz val="11"/>
        <color rgb="FF0000FF"/>
        <rFont val="Arial"/>
      </rPr>
      <t xml:space="preserve">Modular Value: </t>
    </r>
    <r>
      <rPr>
        <sz val="11"/>
        <color rgb="FF0000FF"/>
        <rFont val="Arial"/>
      </rPr>
      <t>5</t>
    </r>
  </si>
  <si>
    <r>
      <rPr>
        <sz val="11"/>
        <color rgb="FF000000"/>
        <rFont val="Arial"/>
      </rPr>
      <t xml:space="preserve">Selected storage location and number of container/s should be displayed.
</t>
    </r>
    <r>
      <rPr>
        <b/>
        <sz val="11"/>
        <color rgb="FF000000"/>
        <rFont val="Arial"/>
      </rPr>
      <t xml:space="preserve">NOTE :
</t>
    </r>
    <r>
      <rPr>
        <sz val="11"/>
        <color rgb="FF000000"/>
        <rFont val="Arial"/>
      </rPr>
      <t xml:space="preserve">The count of prepped containers will depend on the </t>
    </r>
    <r>
      <rPr>
        <b/>
        <sz val="11"/>
        <color rgb="FF000000"/>
        <rFont val="Arial"/>
      </rPr>
      <t>feed frequency</t>
    </r>
    <r>
      <rPr>
        <sz val="11"/>
        <color rgb="FF000000"/>
        <rFont val="Arial"/>
      </rPr>
      <t xml:space="preserve">, otherwise the default prepped container count is 1. 
If </t>
    </r>
    <r>
      <rPr>
        <b/>
        <sz val="11"/>
        <color rgb="FF000000"/>
        <rFont val="Arial"/>
      </rPr>
      <t xml:space="preserve">prepare/force_choose_location </t>
    </r>
    <r>
      <rPr>
        <sz val="11"/>
        <color rgb="FF000000"/>
        <rFont val="Arial"/>
      </rPr>
      <t xml:space="preserve">is set to TRUE, user should select a storage location for prepped containers.
If </t>
    </r>
    <r>
      <rPr>
        <b/>
        <sz val="11"/>
        <color rgb="FF000000"/>
        <rFont val="Arial"/>
      </rPr>
      <t xml:space="preserve">prepare/include_modular_fort_in_total_prep_vol </t>
    </r>
    <r>
      <rPr>
        <sz val="11"/>
        <color rgb="FF000000"/>
        <rFont val="Arial"/>
      </rPr>
      <t>is set to TRUE, modular volume will be included in the total prepped volume.</t>
    </r>
  </si>
  <si>
    <t>Scenario: Prepare Sterile Water with Fortifier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</si>
  <si>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Sterile Water + Fortifier Order, Receive Fortifiers</t>
    </r>
  </si>
  <si>
    <r>
      <rPr>
        <sz val="11"/>
        <color theme="1"/>
        <rFont val="Arial"/>
      </rPr>
      <t xml:space="preserve">Scan Sterile Water Barcode when </t>
    </r>
    <r>
      <rPr>
        <b/>
        <sz val="11"/>
        <color theme="1"/>
        <rFont val="Arial"/>
      </rPr>
      <t>prepare/require_water_base_product_scanning = true</t>
    </r>
    <r>
      <rPr>
        <sz val="11"/>
        <color theme="1"/>
        <rFont val="Arial"/>
      </rPr>
      <t xml:space="preserve">
else Scan First Fortifier Product Barcode</t>
    </r>
  </si>
  <si>
    <r>
      <rPr>
        <b/>
        <sz val="11"/>
        <color theme="1"/>
        <rFont val="Arial"/>
      </rPr>
      <t>Current Behavior</t>
    </r>
    <r>
      <rPr>
        <sz val="11"/>
        <color theme="1"/>
        <rFont val="Arial"/>
      </rPr>
      <t xml:space="preserve">
All orders will be displayed after scanning sterile water or product barcode</t>
    </r>
  </si>
  <si>
    <r>
      <rPr>
        <sz val="11"/>
        <color rgb="FF000000"/>
        <rFont val="Arial"/>
      </rPr>
      <t xml:space="preserve">Click prepare on </t>
    </r>
    <r>
      <rPr>
        <b/>
        <sz val="11"/>
        <color rgb="FF000000"/>
        <rFont val="Arial"/>
      </rPr>
      <t xml:space="preserve">Sterile water + Fortifiers </t>
    </r>
    <r>
      <rPr>
        <sz val="11"/>
        <color rgb="FF000000"/>
        <rFont val="Arial"/>
      </rPr>
      <t>order</t>
    </r>
  </si>
  <si>
    <r>
      <rPr>
        <sz val="11"/>
        <color rgb="FF000000"/>
        <rFont val="Arial"/>
      </rPr>
      <t xml:space="preserve">Scan </t>
    </r>
    <r>
      <rPr>
        <b/>
        <sz val="11"/>
        <color rgb="FF000000"/>
        <rFont val="Arial"/>
      </rPr>
      <t>Fortifiers</t>
    </r>
  </si>
  <si>
    <t>Scenario: Prepare Sterile Water with Fortifier and Modular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</si>
  <si>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Sterile Water + Fortifier + Modular Order, Receive Fortifier and Modular</t>
    </r>
  </si>
  <si>
    <t>Scan Sterile Water Barcode when prepare/require_water_base_product_scanning = true
else Scan First Fortifier Product Barcode</t>
  </si>
  <si>
    <r>
      <rPr>
        <sz val="11"/>
        <color rgb="FF000000"/>
        <rFont val="Arial"/>
      </rPr>
      <t xml:space="preserve">Click prepare on </t>
    </r>
    <r>
      <rPr>
        <b/>
        <sz val="11"/>
        <color rgb="FF000000"/>
        <rFont val="Arial"/>
      </rPr>
      <t>Sterile water + Fortifier + Modular Order</t>
    </r>
  </si>
  <si>
    <r>
      <rPr>
        <sz val="11"/>
        <color rgb="FF000000"/>
        <rFont val="Arial"/>
      </rPr>
      <t xml:space="preserve">Scan </t>
    </r>
    <r>
      <rPr>
        <b/>
        <sz val="11"/>
        <color rgb="FF000000"/>
        <rFont val="Arial"/>
      </rPr>
      <t>Product(Fortifier)</t>
    </r>
  </si>
  <si>
    <r>
      <rPr>
        <sz val="11"/>
        <color rgb="FF000000"/>
        <rFont val="Arial"/>
      </rPr>
      <t xml:space="preserve">Scan </t>
    </r>
    <r>
      <rPr>
        <b/>
        <sz val="11"/>
        <color rgb="FF000000"/>
        <rFont val="Arial"/>
      </rPr>
      <t>Product(Modular)</t>
    </r>
  </si>
  <si>
    <t>Scenario: Prepare OIT Order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</si>
  <si>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OIT Order and Receive EHM</t>
    </r>
  </si>
  <si>
    <t>Click prepare on OIT Order</t>
  </si>
  <si>
    <r>
      <rPr>
        <sz val="11"/>
        <color rgb="FF000000"/>
        <rFont val="Arial"/>
      </rPr>
      <t xml:space="preserve">Scan </t>
    </r>
    <r>
      <rPr>
        <b/>
        <sz val="11"/>
        <color rgb="FF000000"/>
        <rFont val="Arial"/>
      </rPr>
      <t xml:space="preserve">DBM </t>
    </r>
    <r>
      <rPr>
        <sz val="11"/>
        <color rgb="FF000000"/>
        <rFont val="Arial"/>
      </rPr>
      <t>Container</t>
    </r>
  </si>
  <si>
    <r>
      <rPr>
        <sz val="11"/>
        <color rgb="FF000000"/>
        <rFont val="Arial"/>
      </rPr>
      <t xml:space="preserve">Depending on client configuration, using of </t>
    </r>
    <r>
      <rPr>
        <b/>
        <sz val="11"/>
        <color rgb="FF000000"/>
        <rFont val="Arial"/>
      </rPr>
      <t xml:space="preserve">DBM </t>
    </r>
    <r>
      <rPr>
        <sz val="11"/>
        <color rgb="FF000000"/>
        <rFont val="Arial"/>
      </rPr>
      <t xml:space="preserve">is allowed when </t>
    </r>
    <r>
      <rPr>
        <b/>
        <sz val="11"/>
        <color rgb="FF000000"/>
        <rFont val="Arial"/>
      </rPr>
      <t xml:space="preserve">orders/oit/allow_dbm </t>
    </r>
    <r>
      <rPr>
        <sz val="11"/>
        <color rgb="FF000000"/>
        <rFont val="Arial"/>
      </rPr>
      <t xml:space="preserve">is set to </t>
    </r>
    <r>
      <rPr>
        <b/>
        <sz val="11"/>
        <color rgb="FF000000"/>
        <rFont val="Arial"/>
      </rPr>
      <t>TRUE.</t>
    </r>
  </si>
  <si>
    <t>Scenario: Prepared Container / Dosed Prepared Container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</si>
  <si>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Prepared / Dosed Prepared Containers</t>
    </r>
  </si>
  <si>
    <t>Click on Feed Patient</t>
  </si>
  <si>
    <t>Redirects to Feed Patient Screen</t>
  </si>
  <si>
    <t>Scan Patient Barcode</t>
  </si>
  <si>
    <t>Redirects to second feed patient page</t>
  </si>
  <si>
    <t>Scan Prepared Container / Prepared Dosed Container
EBM
EBM + Fortifier
EBM + Fortifier + Modular
DBM
DBM + Fortifier
DBM + Fortifier + Modular
RTU
RTU + Fortifier
RTU + Fortifier + Modular
Sterile Water + Fortifier
Sterile Water + Fortifier + Modular</t>
  </si>
  <si>
    <r>
      <rPr>
        <sz val="11"/>
        <color theme="1"/>
        <rFont val="Arial"/>
      </rPr>
      <t xml:space="preserve">Allow Multiple Bottles to be scanned in same feed instance. When </t>
    </r>
    <r>
      <rPr>
        <b/>
        <sz val="11"/>
        <color theme="1"/>
        <rFont val="Arial"/>
      </rPr>
      <t>feed/allow_multiple_bottles = true</t>
    </r>
  </si>
  <si>
    <r>
      <rPr>
        <sz val="11"/>
        <color theme="1"/>
        <rFont val="Arial"/>
      </rPr>
      <t xml:space="preserve">Confirmation will be displayed for Formula Containers Stating
</t>
    </r>
    <r>
      <rPr>
        <b/>
        <sz val="11"/>
        <color rgb="FFF1C232"/>
        <rFont val="Arial"/>
      </rPr>
      <t>FRM00000V ( - Enfamil Infant RTU (17420130080305)):  This container is a formula. It appears there is breast milk available for this Patient . Are you sure you want to feed the formula that you scanned?
Please verify recent orders below or click "Previous" to select a new container, or "Finish" to feed this container.</t>
    </r>
  </si>
  <si>
    <r>
      <rPr>
        <sz val="11"/>
        <color theme="1"/>
        <rFont val="Arial"/>
      </rPr>
      <t xml:space="preserve">Only happens when </t>
    </r>
    <r>
      <rPr>
        <b/>
        <sz val="11"/>
        <color theme="1"/>
        <rFont val="Arial"/>
      </rPr>
      <t>feed/soft_stop_ebm_option_on_formula_feed = true</t>
    </r>
  </si>
  <si>
    <r>
      <rPr>
        <sz val="11"/>
        <color theme="1"/>
        <rFont val="Arial"/>
      </rPr>
      <t xml:space="preserve">Redirects to Success Page
Success message will be displayed
</t>
    </r>
    <r>
      <rPr>
        <b/>
        <sz val="11"/>
        <color rgb="FF4EA72E"/>
        <rFont val="Arial"/>
      </rPr>
      <t>Container {Container Barcode} can now be fed to Patient {Patient First Name} {Patient LastName} and will be disposed of by the system.</t>
    </r>
  </si>
  <si>
    <t>Scenario:  Quick Feed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</si>
  <si>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Unreceive EHM Container</t>
    </r>
  </si>
  <si>
    <t>Click on Feed Patient &gt; Scan Patient successfully</t>
  </si>
  <si>
    <t>Scan unreceive EHM</t>
  </si>
  <si>
    <r>
      <rPr>
        <b/>
        <sz val="11"/>
        <color theme="1"/>
        <rFont val="Calibri"/>
      </rPr>
      <t>feed/use_quick_feed = false</t>
    </r>
    <r>
      <rPr>
        <sz val="11"/>
        <color theme="1"/>
        <rFont val="Calibri"/>
      </rPr>
      <t xml:space="preserve">
Hardstop = </t>
    </r>
    <r>
      <rPr>
        <b/>
        <sz val="11"/>
        <color rgb="FFFF0000"/>
        <rFont val="Calibri"/>
      </rPr>
      <t>The container {Container Barcode} has not been received yet.</t>
    </r>
    <r>
      <rPr>
        <sz val="11"/>
        <color theme="1"/>
        <rFont val="Calibri"/>
      </rPr>
      <t xml:space="preserve">
</t>
    </r>
    <r>
      <rPr>
        <b/>
        <sz val="11"/>
        <color theme="1"/>
        <rFont val="Calibri"/>
      </rPr>
      <t>feed/use_quick_feed = true</t>
    </r>
    <r>
      <rPr>
        <sz val="11"/>
        <color theme="1"/>
        <rFont val="Calibri"/>
      </rPr>
      <t xml:space="preserve">
Redirects to Soft Stop/Verification Page: </t>
    </r>
    <r>
      <rPr>
        <b/>
        <sz val="11"/>
        <color rgb="FFF1C232"/>
        <rFont val="Calibri"/>
      </rPr>
      <t>Container contents are fresh and pumped less than 48 hours ago, or container contents were thawed less than 24 hours ago.</t>
    </r>
    <r>
      <rPr>
        <sz val="11"/>
        <color theme="1"/>
        <rFont val="Calibri"/>
      </rPr>
      <t xml:space="preserve">
</t>
    </r>
  </si>
  <si>
    <t>Scenario: Unprepared EBM Feeds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</si>
  <si>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Receveid EHM Container</t>
    </r>
  </si>
  <si>
    <t>Scan Unprepared Fresh, Frozen, Deep Frozen and Thawed EHM Bottle with EBM Order</t>
  </si>
  <si>
    <r>
      <rPr>
        <sz val="11"/>
        <color theme="1"/>
        <rFont val="Calibri"/>
      </rPr>
      <t xml:space="preserve">If </t>
    </r>
    <r>
      <rPr>
        <b/>
        <sz val="11"/>
        <color theme="1"/>
        <rFont val="Calibri"/>
      </rPr>
      <t>milk/allow_feed_frozen is set to true</t>
    </r>
    <r>
      <rPr>
        <sz val="11"/>
        <color theme="1"/>
        <rFont val="Calibri"/>
      </rPr>
      <t xml:space="preserve"> this will proceed to success page. Otherwise this will display a hard stop </t>
    </r>
    <r>
      <rPr>
        <b/>
        <sz val="11"/>
        <color rgb="FFFF0000"/>
        <rFont val="Calibri"/>
      </rPr>
      <t>The container {Container Barcode} cannot be fed to the Patient as it is currently frozen.</t>
    </r>
  </si>
  <si>
    <t>Scenario: Unprepared RTU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</si>
  <si>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Receveid RTU</t>
    </r>
  </si>
  <si>
    <t>Scan RTU, Formula with Formula Order</t>
  </si>
  <si>
    <t>feed/soft_stop_ebm_option_on_formula_feed = TRUE &amp; Patient  has breastmilk order, a Soft stop will appear</t>
  </si>
  <si>
    <t>Soft Stop  will display</t>
  </si>
  <si>
    <t>Scenario:  Feed Patient and Possible Hard Stops</t>
  </si>
  <si>
    <t xml:space="preserve">No scanned Patient &gt; Click Next </t>
  </si>
  <si>
    <r>
      <rPr>
        <sz val="11"/>
        <color theme="1"/>
        <rFont val="Arial"/>
      </rPr>
      <t xml:space="preserve">Hard Stop </t>
    </r>
    <r>
      <rPr>
        <b/>
        <sz val="11"/>
        <color rgb="FFFF0000"/>
        <rFont val="Arial"/>
      </rPr>
      <t>The Patient field is empty.</t>
    </r>
    <r>
      <rPr>
        <sz val="11"/>
        <color theme="1"/>
        <rFont val="Arial"/>
      </rPr>
      <t xml:space="preserve"> should display</t>
    </r>
  </si>
  <si>
    <t>Scan Invalid Patient Barcode in Patient  Barcode Field</t>
  </si>
  <si>
    <r>
      <rPr>
        <sz val="11"/>
        <color theme="1"/>
        <rFont val="Arial"/>
      </rPr>
      <t xml:space="preserve">Hard Stop </t>
    </r>
    <r>
      <rPr>
        <b/>
        <sz val="11"/>
        <color rgb="FFFF0000"/>
        <rFont val="Arial"/>
      </rPr>
      <t>The Patient that you scanned {Container Barcode} is not valid.</t>
    </r>
  </si>
  <si>
    <t>Scan Patient &gt; Scan inactive patient</t>
  </si>
  <si>
    <r>
      <rPr>
        <sz val="11"/>
        <color theme="1"/>
        <rFont val="Arial"/>
      </rPr>
      <t xml:space="preserve">Hard Stop </t>
    </r>
    <r>
      <rPr>
        <b/>
        <sz val="11"/>
        <color rgb="FFFF0000"/>
        <rFont val="Arial"/>
      </rPr>
      <t>The Patient that you selected {Patient Barcode} is not active.</t>
    </r>
  </si>
  <si>
    <t>Scan invalid barcode in Containers Field</t>
  </si>
  <si>
    <r>
      <rPr>
        <sz val="11"/>
        <color theme="1"/>
        <rFont val="Arial"/>
      </rPr>
      <t xml:space="preserve">Hard Stop </t>
    </r>
    <r>
      <rPr>
        <b/>
        <sz val="11"/>
        <color rgb="FFFF0000"/>
        <rFont val="Arial"/>
      </rPr>
      <t>The container PT000001 is not a valid container.</t>
    </r>
  </si>
  <si>
    <t>Scan Patient &gt; Scan Disposed Bottle</t>
  </si>
  <si>
    <r>
      <rPr>
        <sz val="11"/>
        <color theme="1"/>
        <rFont val="Arial"/>
      </rPr>
      <t xml:space="preserve">Hard Stop </t>
    </r>
    <r>
      <rPr>
        <b/>
        <sz val="11"/>
        <color rgb="FFFF0000"/>
        <rFont val="Arial"/>
      </rPr>
      <t>The container that you selected EHM000006 has already been disposed.</t>
    </r>
  </si>
  <si>
    <t>Scenario: Use Dosing for Combining EHM and DHM in the Same Container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</si>
  <si>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 xml:space="preserve">: Have a Container of received EHM and received DHM that has NOT yet been opened, and the app setting </t>
    </r>
    <r>
      <rPr>
        <b/>
        <sz val="11"/>
        <color rgb="FF4C1130"/>
        <rFont val="Roboto"/>
      </rPr>
      <t>prepare/ebm_and_dbm_in_same_prep_action</t>
    </r>
    <r>
      <rPr>
        <sz val="11"/>
        <color rgb="FF4C1130"/>
        <rFont val="Roboto"/>
      </rPr>
      <t xml:space="preserve"> is </t>
    </r>
    <r>
      <rPr>
        <b/>
        <sz val="11"/>
        <color rgb="FF4C1130"/>
        <rFont val="Roboto"/>
      </rPr>
      <t>STOP_NO</t>
    </r>
  </si>
  <si>
    <r>
      <rPr>
        <sz val="10"/>
        <color theme="1"/>
        <rFont val="Roboto"/>
      </rPr>
      <t xml:space="preserve">Click on </t>
    </r>
    <r>
      <rPr>
        <i/>
        <sz val="10"/>
        <color rgb="FF000000"/>
        <rFont val="Roboto"/>
      </rPr>
      <t>Dosing</t>
    </r>
    <r>
      <rPr>
        <sz val="10"/>
        <color rgb="FF000000"/>
        <rFont val="Roboto"/>
      </rPr>
      <t xml:space="preserve"> in the </t>
    </r>
    <r>
      <rPr>
        <i/>
        <sz val="10"/>
        <color rgb="FF000000"/>
        <rFont val="Roboto"/>
      </rPr>
      <t>Main</t>
    </r>
    <r>
      <rPr>
        <sz val="10"/>
        <color rgb="FF000000"/>
        <rFont val="Roboto"/>
      </rPr>
      <t xml:space="preserve"> Menu on the left side of the screen.</t>
    </r>
  </si>
  <si>
    <r>
      <rPr>
        <sz val="10"/>
        <color theme="1"/>
        <rFont val="Roboto"/>
      </rPr>
      <t xml:space="preserve">Launches </t>
    </r>
    <r>
      <rPr>
        <i/>
        <sz val="10"/>
        <color rgb="FF000000"/>
        <rFont val="Roboto"/>
      </rPr>
      <t>Dosing</t>
    </r>
    <r>
      <rPr>
        <sz val="10"/>
        <color rgb="FF000000"/>
        <rFont val="Roboto"/>
      </rPr>
      <t xml:space="preserve"> Screen.</t>
    </r>
  </si>
  <si>
    <r>
      <rPr>
        <sz val="10"/>
        <color theme="1"/>
        <rFont val="Roboto"/>
      </rPr>
      <t xml:space="preserve">Scan received barcode label on the </t>
    </r>
    <r>
      <rPr>
        <b/>
        <sz val="10"/>
        <color theme="1"/>
        <rFont val="Roboto"/>
      </rPr>
      <t>EHM</t>
    </r>
    <r>
      <rPr>
        <sz val="10"/>
        <color theme="1"/>
        <rFont val="Roboto"/>
      </rPr>
      <t xml:space="preserve"> Container, then scan the received barcode label on the </t>
    </r>
    <r>
      <rPr>
        <b/>
        <sz val="10"/>
        <color theme="1"/>
        <rFont val="Roboto"/>
      </rPr>
      <t>DHM</t>
    </r>
    <r>
      <rPr>
        <sz val="10"/>
        <color theme="1"/>
        <rFont val="Roboto"/>
      </rPr>
      <t xml:space="preserve"> Container.</t>
    </r>
  </si>
  <si>
    <t>Screen updates with dosing details.</t>
  </si>
  <si>
    <t>Enter number of Containers to prepare as "1" using the dropdown on the right side of the New Containers section.</t>
  </si>
  <si>
    <t>Dropdown is available.</t>
  </si>
  <si>
    <t>Enter the volume for Container 1. Use the combined volume of both scanned source Containers.</t>
  </si>
  <si>
    <t>Volume appears in the volume field for Container 1.</t>
  </si>
  <si>
    <t>Enter Location for the new Container.</t>
  </si>
  <si>
    <r>
      <rPr>
        <sz val="10"/>
        <color theme="1"/>
        <rFont val="Roboto"/>
      </rPr>
      <t xml:space="preserve">Click </t>
    </r>
    <r>
      <rPr>
        <i/>
        <sz val="10"/>
        <color rgb="FF000000"/>
        <rFont val="Roboto"/>
      </rPr>
      <t>Finish &amp; Print.</t>
    </r>
  </si>
  <si>
    <t>Labels print.
Expiration is correct.
Both scanned source Containers are disposed (this is indicated in the green success message as "Containers &lt;ID&gt; have been disposed.")</t>
  </si>
  <si>
    <t>Scenario:  Use Dosing for Splitting DHM That is Not Assigned to a Patient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</si>
  <si>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 xml:space="preserve">: Have a received Container of DHM. Feed patient with plain DHM order using dosed Container.                       </t>
    </r>
  </si>
  <si>
    <r>
      <rPr>
        <sz val="10"/>
        <color theme="1"/>
        <rFont val="Roboto"/>
      </rPr>
      <t xml:space="preserve">Click on </t>
    </r>
    <r>
      <rPr>
        <i/>
        <sz val="10"/>
        <color theme="1"/>
        <rFont val="Roboto"/>
      </rPr>
      <t>Dosing</t>
    </r>
    <r>
      <rPr>
        <sz val="10"/>
        <color theme="1"/>
        <rFont val="Roboto"/>
      </rPr>
      <t xml:space="preserve"> in the </t>
    </r>
    <r>
      <rPr>
        <i/>
        <sz val="10"/>
        <color theme="1"/>
        <rFont val="Roboto"/>
      </rPr>
      <t>Main</t>
    </r>
    <r>
      <rPr>
        <sz val="10"/>
        <color theme="1"/>
        <rFont val="Roboto"/>
      </rPr>
      <t xml:space="preserve"> Menu on the left side of the screen.</t>
    </r>
  </si>
  <si>
    <r>
      <rPr>
        <sz val="10"/>
        <color theme="1"/>
        <rFont val="Roboto"/>
      </rPr>
      <t xml:space="preserve">Launches </t>
    </r>
    <r>
      <rPr>
        <i/>
        <sz val="10"/>
        <color theme="1"/>
        <rFont val="Roboto"/>
      </rPr>
      <t>Dosing</t>
    </r>
    <r>
      <rPr>
        <sz val="10"/>
        <color theme="1"/>
        <rFont val="Roboto"/>
      </rPr>
      <t xml:space="preserve"> Screen.</t>
    </r>
  </si>
  <si>
    <r>
      <rPr>
        <sz val="10"/>
        <color theme="1"/>
        <rFont val="Roboto"/>
      </rPr>
      <t xml:space="preserve">Scan the Timeless Medical Systems or MBMS barcode label on the received Container of </t>
    </r>
    <r>
      <rPr>
        <b/>
        <sz val="10"/>
        <color theme="1"/>
        <rFont val="Roboto"/>
      </rPr>
      <t>DHM</t>
    </r>
    <r>
      <rPr>
        <sz val="10"/>
        <color theme="1"/>
        <rFont val="Roboto"/>
      </rPr>
      <t>.</t>
    </r>
  </si>
  <si>
    <r>
      <rPr>
        <sz val="10"/>
        <color theme="1"/>
        <rFont val="Roboto"/>
      </rPr>
      <t xml:space="preserve">The </t>
    </r>
    <r>
      <rPr>
        <b/>
        <sz val="10"/>
        <color theme="1"/>
        <rFont val="Roboto"/>
      </rPr>
      <t>DHM</t>
    </r>
    <r>
      <rPr>
        <sz val="10"/>
        <color theme="1"/>
        <rFont val="Roboto"/>
      </rPr>
      <t xml:space="preserve"> barcode/name and expiration appear on the screen.</t>
    </r>
  </si>
  <si>
    <r>
      <rPr>
        <sz val="10"/>
        <color theme="1"/>
        <rFont val="Roboto"/>
      </rPr>
      <t>Indicate</t>
    </r>
    <r>
      <rPr>
        <b/>
        <sz val="10"/>
        <color theme="1"/>
        <rFont val="Roboto"/>
      </rPr>
      <t xml:space="preserve"> Dose without Assigning to a Patient</t>
    </r>
    <r>
      <rPr>
        <sz val="10"/>
        <color theme="1"/>
        <rFont val="Roboto"/>
      </rPr>
      <t xml:space="preserve"> from </t>
    </r>
    <r>
      <rPr>
        <i/>
        <sz val="10"/>
        <color theme="1"/>
        <rFont val="Roboto"/>
      </rPr>
      <t>Select a Patient</t>
    </r>
    <r>
      <rPr>
        <sz val="10"/>
        <color theme="1"/>
        <rFont val="Roboto"/>
      </rPr>
      <t xml:space="preserve"> section.</t>
    </r>
  </si>
  <si>
    <r>
      <rPr>
        <i/>
        <sz val="10"/>
        <color theme="1"/>
        <rFont val="Roboto"/>
      </rPr>
      <t>Select a Patient</t>
    </r>
    <r>
      <rPr>
        <sz val="10"/>
        <color theme="1"/>
        <rFont val="Roboto"/>
      </rPr>
      <t xml:space="preserve"> section is changed to </t>
    </r>
    <r>
      <rPr>
        <i/>
        <sz val="10"/>
        <color theme="1"/>
        <rFont val="Roboto"/>
      </rPr>
      <t>No Patient</t>
    </r>
    <r>
      <rPr>
        <sz val="10"/>
        <color theme="1"/>
        <rFont val="Roboto"/>
      </rPr>
      <t xml:space="preserve"> and the option to select a patient disappears (but can be reverted by pressing Clear).</t>
    </r>
  </si>
  <si>
    <t>Enter number of Containers to prepare as "4" using the dropdown on the right side of the New Containers section.</t>
  </si>
  <si>
    <t>Enter volume for the first new Container.</t>
  </si>
  <si>
    <t>Volume appears in the volume field for Container 1 and reflects for the remaining new Containers.</t>
  </si>
  <si>
    <t>Enter Location for the new Containers.</t>
  </si>
  <si>
    <r>
      <rPr>
        <sz val="10"/>
        <color theme="1"/>
        <rFont val="Roboto"/>
      </rPr>
      <t xml:space="preserve">Click </t>
    </r>
    <r>
      <rPr>
        <i/>
        <sz val="10"/>
        <color theme="1"/>
        <rFont val="Roboto"/>
      </rPr>
      <t>Finish &amp; Print.</t>
    </r>
  </si>
  <si>
    <r>
      <rPr>
        <sz val="10"/>
        <color theme="1"/>
        <rFont val="Roboto"/>
      </rPr>
      <t>Labels print.
Expiration is correct and matches expiration for thawed</t>
    </r>
    <r>
      <rPr>
        <b/>
        <sz val="10"/>
        <color theme="1"/>
        <rFont val="Roboto"/>
      </rPr>
      <t xml:space="preserve"> DHM</t>
    </r>
    <r>
      <rPr>
        <sz val="10"/>
        <color theme="1"/>
        <rFont val="Roboto"/>
      </rPr>
      <t>.</t>
    </r>
  </si>
  <si>
    <t>Scenario:  Use Dosing for Splitting Powder Products into Smaller Pre-Measured Container to be Used for a Specific Patient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</si>
  <si>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 xml:space="preserve">: Have a received and unopened can of a powder formula product.				</t>
    </r>
  </si>
  <si>
    <t>Scan the Timeless Medical Systems barcode label on the received can of powder formula (the label barcode ID begins with FPR).</t>
  </si>
  <si>
    <t>The product barcode/name and expiration appear on the screen.</t>
  </si>
  <si>
    <t>Select a Patient</t>
  </si>
  <si>
    <r>
      <rPr>
        <i/>
        <sz val="10"/>
        <color rgb="FF000000"/>
        <rFont val="Roboto"/>
      </rPr>
      <t>Select a Patient</t>
    </r>
    <r>
      <rPr>
        <sz val="10"/>
        <color rgb="FF000000"/>
        <rFont val="Roboto"/>
      </rPr>
      <t xml:space="preserve"> section is changed to </t>
    </r>
    <r>
      <rPr>
        <i/>
        <sz val="10"/>
        <color rgb="FF000000"/>
        <rFont val="Roboto"/>
      </rPr>
      <t>No Patient</t>
    </r>
    <r>
      <rPr>
        <sz val="10"/>
        <color rgb="FF000000"/>
        <rFont val="Roboto"/>
      </rPr>
      <t xml:space="preserve"> and the option to select a patient disappears (but can be reverted by pressing Clear).</t>
    </r>
  </si>
  <si>
    <t>Dropdown is available and includes stock room locations only.</t>
  </si>
  <si>
    <t>Labels print.
Expiration is correct and matches expiration of the already opened FPR product.</t>
  </si>
  <si>
    <t>Scenario:  Use Dosing for Splitting Powder Products into Smaller Pre-Measured Container to be Used for Any Patient</t>
  </si>
  <si>
    <r>
      <rPr>
        <sz val="10"/>
        <color theme="1"/>
        <rFont val="Roboto"/>
      </rPr>
      <t xml:space="preserve">Select Dose Without Assigning to Patient in the  </t>
    </r>
    <r>
      <rPr>
        <i/>
        <sz val="10"/>
        <color rgb="FF000000"/>
        <rFont val="Roboto"/>
      </rPr>
      <t>Select a Patient</t>
    </r>
    <r>
      <rPr>
        <sz val="10"/>
        <color rgb="FF000000"/>
        <rFont val="Roboto"/>
      </rPr>
      <t xml:space="preserve"> section.</t>
    </r>
  </si>
  <si>
    <t>Enter location for the new Containers.</t>
  </si>
  <si>
    <t>Labels print.
Expiration is correct and reflects the correct opened expiration for powder products (on the restored product label as well as the new product labels).</t>
  </si>
  <si>
    <t>Scenario:  Use Dosing for Received Ready to Feed Liquid Products to Aliquot Into Smaller Feed Containers for a Specific Patient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</si>
  <si>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Have a received and unopened Nursette or Tetra of Ready to Feed Formula. Have a Patient with a plain RTF order for the received Nursette/Tetra.</t>
    </r>
  </si>
  <si>
    <t>Scan the Timeless Medical Systems barcode label on the received RTF Product (the label barcode ID begins with FRM).</t>
  </si>
  <si>
    <r>
      <rPr>
        <sz val="10"/>
        <color theme="1"/>
        <rFont val="Roboto"/>
      </rPr>
      <t xml:space="preserve">Select Patient from Patient Dropdown in the  </t>
    </r>
    <r>
      <rPr>
        <i/>
        <sz val="10"/>
        <color rgb="FF000000"/>
        <rFont val="Roboto"/>
      </rPr>
      <t>Select a Patient</t>
    </r>
    <r>
      <rPr>
        <sz val="10"/>
        <color rgb="FF000000"/>
        <rFont val="Roboto"/>
      </rPr>
      <t xml:space="preserve"> section.</t>
    </r>
  </si>
  <si>
    <t>Patient information will reflect on screen.</t>
  </si>
  <si>
    <t>Dropdown is available and includes refrigerator locations.</t>
  </si>
  <si>
    <r>
      <rPr>
        <sz val="10"/>
        <color theme="1"/>
        <rFont val="Roboto"/>
      </rPr>
      <t xml:space="preserve">Labels print. </t>
    </r>
    <r>
      <rPr>
        <i/>
        <sz val="10"/>
        <color rgb="FF000000"/>
        <rFont val="Roboto"/>
      </rPr>
      <t xml:space="preserve">Barcode IDs begin with FRM
</t>
    </r>
    <r>
      <rPr>
        <sz val="10"/>
        <color rgb="FF000000"/>
        <rFont val="Roboto"/>
      </rPr>
      <t>Confirmation Screen indicates the Patient assigned to the new Containers.
Expiration is correct and reflects the RTF's "Once Opened" expiration date/time</t>
    </r>
  </si>
  <si>
    <t>Scenario:  Use Dosing for Prepared Containers</t>
  </si>
  <si>
    <r>
      <rPr>
        <b/>
        <sz val="11"/>
        <color rgb="FF4C1130"/>
        <rFont val="Roboto"/>
      </rPr>
      <t>Prerequisite</t>
    </r>
    <r>
      <rPr>
        <sz val="11"/>
        <color rgb="FF4C1130"/>
        <rFont val="Roboto"/>
      </rPr>
      <t>: Have a prepared containers of the orders mentioned above</t>
    </r>
  </si>
  <si>
    <t>Scan Prepared Container</t>
  </si>
  <si>
    <r>
      <rPr>
        <sz val="10"/>
        <color theme="1"/>
        <rFont val="Roboto"/>
      </rPr>
      <t xml:space="preserve">The prepared container barcode and expiration appear on the screen.
Name will appear as </t>
    </r>
    <r>
      <rPr>
        <b/>
        <sz val="10"/>
        <color theme="1"/>
        <rFont val="Roboto"/>
      </rPr>
      <t xml:space="preserve">Prepared Feed
</t>
    </r>
    <r>
      <rPr>
        <sz val="10"/>
        <color theme="1"/>
        <rFont val="Roboto"/>
      </rPr>
      <t>Assigned patient name will appear on the screen</t>
    </r>
  </si>
  <si>
    <r>
      <rPr>
        <sz val="10"/>
        <color theme="1"/>
        <rFont val="Roboto"/>
      </rPr>
      <t>Enter</t>
    </r>
    <r>
      <rPr>
        <b/>
        <sz val="10"/>
        <color theme="1"/>
        <rFont val="Roboto"/>
      </rPr>
      <t xml:space="preserve"> 2</t>
    </r>
    <r>
      <rPr>
        <sz val="10"/>
        <color theme="1"/>
        <rFont val="Roboto"/>
      </rPr>
      <t xml:space="preserve"> as a volume for new  Container.</t>
    </r>
  </si>
  <si>
    <t>Volume appears in the volume field</t>
  </si>
  <si>
    <r>
      <rPr>
        <sz val="10"/>
        <color theme="1"/>
        <rFont val="Roboto"/>
      </rPr>
      <t>Labels print.</t>
    </r>
    <r>
      <rPr>
        <i/>
        <sz val="10"/>
        <color theme="1"/>
        <rFont val="Roboto"/>
      </rPr>
      <t xml:space="preserve">
</t>
    </r>
    <r>
      <rPr>
        <sz val="10"/>
        <color theme="1"/>
        <rFont val="Roboto"/>
      </rPr>
      <t>Confirmation Screen indicates the Patient assigned to the new Containers.
Expiration is correct and the same to the expiration date/time of source container</t>
    </r>
  </si>
  <si>
    <t>Scenario:  Discharge Patient</t>
  </si>
  <si>
    <t>Click on Discharge &gt; Discharge Patients.</t>
  </si>
  <si>
    <t>Discharge Patients page opens.</t>
  </si>
  <si>
    <t>Step2</t>
  </si>
  <si>
    <t>No Patients selected</t>
  </si>
  <si>
    <r>
      <rPr>
        <sz val="11"/>
        <color rgb="FF000000"/>
        <rFont val="Arial"/>
      </rPr>
      <t xml:space="preserve">Hard Stop  </t>
    </r>
    <r>
      <rPr>
        <b/>
        <sz val="11"/>
        <color rgb="FFFF0000"/>
        <rFont val="Arial"/>
      </rPr>
      <t>Please select a Patient to discharge.</t>
    </r>
  </si>
  <si>
    <t>Selects Patient(With or without guardian) successfully</t>
  </si>
  <si>
    <r>
      <rPr>
        <sz val="11"/>
        <color rgb="FF000000"/>
        <rFont val="Arial"/>
      </rPr>
      <t>Next -&gt; Confirmation Page will appear stating "</t>
    </r>
    <r>
      <rPr>
        <b/>
        <sz val="11"/>
        <color rgb="FF0000FF"/>
        <rFont val="Arial"/>
      </rPr>
      <t>Are you sure you would like to discharge Last Name, First Name (Barcode)?</t>
    </r>
    <r>
      <rPr>
        <sz val="11"/>
        <color rgb="FF000000"/>
        <rFont val="Arial"/>
      </rPr>
      <t>"</t>
    </r>
  </si>
  <si>
    <t>Redirects to Success Page</t>
  </si>
  <si>
    <r>
      <rPr>
        <sz val="11"/>
        <color rgb="FF000000"/>
        <rFont val="Arial"/>
      </rPr>
      <t xml:space="preserve">Patient now discharged or in inactive status.
</t>
    </r>
    <r>
      <rPr>
        <b/>
        <sz val="11"/>
        <color rgb="FF0000FF"/>
        <rFont val="Arial"/>
      </rPr>
      <t>When patient has sibling, mother and  order status remain active.
When patient doesn't have a sibling, mother status will be inactive. Order status will become inactive when app setting order/wait_hours_after_discharge_to_deactivate_orders = 0</t>
    </r>
  </si>
  <si>
    <t>Scenario:  Discharge Containers</t>
  </si>
  <si>
    <t>Click on Discharge &gt; Discharge Containers.</t>
  </si>
  <si>
    <t>Discharge Containers page opens.</t>
  </si>
  <si>
    <t>No Patients selected/scanned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</si>
  <si>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patient field is  empty</t>
    </r>
  </si>
  <si>
    <t>After scanning/selecting patient -&gt; Finish</t>
  </si>
  <si>
    <r>
      <rPr>
        <sz val="11"/>
        <color rgb="FF000000"/>
        <rFont val="Calibri"/>
      </rPr>
      <t>Hard Stop -&gt;</t>
    </r>
    <r>
      <rPr>
        <sz val="11"/>
        <color rgb="FFFF0000"/>
        <rFont val="Calibri"/>
      </rPr>
      <t xml:space="preserve"> </t>
    </r>
    <r>
      <rPr>
        <b/>
        <sz val="11"/>
        <color rgb="FFFF0000"/>
        <rFont val="Calibri"/>
      </rPr>
      <t>Please select a reason for discharge.</t>
    </r>
  </si>
  <si>
    <t>After scanning/selecting patient and selecting reason -&gt; Finish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</si>
  <si>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Please scan at least one container.</t>
    </r>
  </si>
  <si>
    <r>
      <rPr>
        <sz val="11"/>
        <color rgb="FF000000"/>
        <rFont val="Calibri"/>
      </rPr>
      <t xml:space="preserve">After scanning/selecting patient and selecting reason, scanning </t>
    </r>
    <r>
      <rPr>
        <b/>
        <sz val="11"/>
        <color rgb="FF000000"/>
        <rFont val="Calibri"/>
      </rPr>
      <t>INVALID</t>
    </r>
    <r>
      <rPr>
        <sz val="11"/>
        <color rgb="FF000000"/>
        <rFont val="Calibri"/>
      </rPr>
      <t xml:space="preserve"> container -&gt; Finish</t>
    </r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</si>
  <si>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container INVALID is not a valid container.</t>
    </r>
    <r>
      <rPr>
        <sz val="11"/>
        <color rgb="FF000000"/>
        <rFont val="Calibri"/>
      </rPr>
      <t xml:space="preserve">
*This applies to:
&gt;&gt; barcode not saved in the system</t>
    </r>
  </si>
  <si>
    <r>
      <rPr>
        <sz val="11"/>
        <color rgb="FF000000"/>
        <rFont val="Calibri"/>
      </rPr>
      <t xml:space="preserve">After scanning/selecting patient and selecting reason, scanning </t>
    </r>
    <r>
      <rPr>
        <b/>
        <sz val="11"/>
        <color rgb="FF000000"/>
        <rFont val="Calibri"/>
      </rPr>
      <t xml:space="preserve">UNRECEIVED </t>
    </r>
    <r>
      <rPr>
        <sz val="11"/>
        <color rgb="FF000000"/>
        <rFont val="Calibri"/>
      </rPr>
      <t>container -&gt; Finish</t>
    </r>
  </si>
  <si>
    <t>Redirects to success page.</t>
  </si>
  <si>
    <r>
      <rPr>
        <sz val="11"/>
        <color rgb="FF000000"/>
        <rFont val="Calibri"/>
      </rPr>
      <t xml:space="preserve">After scanning/selecting patient and selecting reason, scanning </t>
    </r>
    <r>
      <rPr>
        <b/>
        <sz val="11"/>
        <color rgb="FF000000"/>
        <rFont val="Calibri"/>
      </rPr>
      <t xml:space="preserve">RECEIVED </t>
    </r>
    <r>
      <rPr>
        <sz val="11"/>
        <color rgb="FF000000"/>
        <rFont val="Calibri"/>
      </rPr>
      <t>container -&gt; Finish</t>
    </r>
  </si>
  <si>
    <r>
      <rPr>
        <sz val="11"/>
        <color rgb="FF000000"/>
        <rFont val="Calibri"/>
      </rPr>
      <t xml:space="preserve">After scanning/selecting patient and selecting reason, scanning </t>
    </r>
    <r>
      <rPr>
        <b/>
        <sz val="11"/>
        <color rgb="FF000000"/>
        <rFont val="Calibri"/>
      </rPr>
      <t>ALREADY DISCHARGED/DISPOSED</t>
    </r>
    <r>
      <rPr>
        <sz val="11"/>
        <color rgb="FF000000"/>
        <rFont val="Calibri"/>
      </rPr>
      <t xml:space="preserve"> container -&gt; Finish</t>
    </r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</si>
  <si>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container that you selected {Container Barcode} has already been disposed.</t>
    </r>
  </si>
  <si>
    <t>Discharge more containers</t>
  </si>
  <si>
    <t>Go to main menu</t>
  </si>
  <si>
    <t>Redirects to Dashboard</t>
  </si>
  <si>
    <t>Scenario:  Discharge Bag</t>
  </si>
  <si>
    <t>Click on Discharge &gt; Discharge Bag.</t>
  </si>
  <si>
    <t>No Bag selected/scanned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</si>
  <si>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Please scan at least one Bag</t>
    </r>
  </si>
  <si>
    <t>After scanning/selecting a bag -&gt; Finish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</si>
  <si>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selected disposal reason is not valid.</t>
    </r>
  </si>
  <si>
    <t>After scanning/selecting a bag, reason, leave patient blank -&gt; Finish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</si>
  <si>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Patient that you scanned is not valid.</t>
    </r>
  </si>
  <si>
    <t>After scanning/selecting a bag(Is for This Patient Only? checked), reason, scan another patients(twins barcode) -&gt; Finish</t>
  </si>
  <si>
    <r>
      <rPr>
        <sz val="11"/>
        <color rgb="FF000000"/>
        <rFont val="Calibri"/>
      </rPr>
      <t xml:space="preserve">Hard Stop -&gt; </t>
    </r>
    <r>
      <rPr>
        <b/>
        <sz val="11"/>
        <color rgb="FFFF0000"/>
        <rFont val="Calibri"/>
      </rPr>
      <t>The selected Bag does not belong to this Patient {Patient Barcode}</t>
    </r>
  </si>
  <si>
    <t>After scanning/selecting a bag(Is for This Patient Only? unchecked), reason, scan another patients(twins barcode) -&gt; Finish</t>
  </si>
  <si>
    <t>Redirects to Success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</si>
</sst>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sz val="11"/>
      <color theme="1"/>
      <name val="Aptos Narrow"/>
      <scheme val="minor"/>
    </font>
    <font>
      <b/>
      <sz val="17"/>
      <color rgb="FFFFFFFF"/>
      <name val="Roboto"/>
    </font>
    <font>
      <sz val="11"/>
      <name val="Aptos Narrow"/>
    </font>
    <font>
      <b/>
      <sz val="14"/>
      <color rgb="FFFFFFFF"/>
      <name val="Play"/>
    </font>
    <font>
      <b/>
      <sz val="11"/>
      <color rgb="FFFFFFFF"/>
      <name val="Play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11"/>
      <color theme="1"/>
      <name val="Aptos Narrow"/>
    </font>
    <font>
      <sz val="11"/>
      <color theme="1"/>
      <name val="Arial"/>
    </font>
    <font>
      <b/>
      <sz val="11"/>
      <color theme="1"/>
      <name val="Aptos Narrow"/>
    </font>
    <font>
      <b/>
      <sz val="11"/>
      <color theme="1"/>
      <name val="Arial"/>
    </font>
    <font>
      <sz val="11"/>
      <color rgb="FFFF0000"/>
      <name val="Arial"/>
    </font>
    <font>
      <sz val="11"/>
      <color rgb="FFFF0000"/>
      <name val="Calibri"/>
    </font>
    <font>
      <sz val="11"/>
      <color theme="9"/>
      <name val="Arial"/>
    </font>
    <font>
      <b/>
      <sz val="11"/>
      <color theme="0"/>
      <name val="Play"/>
    </font>
    <font>
      <b/>
      <sz val="11"/>
      <color rgb="FF000000"/>
      <name val="Arial"/>
    </font>
    <font>
      <sz val="11"/>
      <color rgb="FF000000"/>
      <name val="Arial"/>
    </font>
    <font>
      <b/>
      <sz val="14"/>
      <color rgb="FFFFFFFF"/>
      <name val="Roboto"/>
    </font>
    <font>
      <i/>
      <sz val="11"/>
      <color theme="1"/>
      <name val="Arial"/>
    </font>
    <font>
      <b/>
      <u/>
      <sz val="11"/>
      <color rgb="FF0000FF"/>
      <name val="Arial"/>
    </font>
    <font>
      <sz val="11"/>
      <color rgb="FF0000FF"/>
      <name val="Arial"/>
    </font>
    <font>
      <b/>
      <sz val="11"/>
      <color theme="1"/>
      <name val="Roboto"/>
    </font>
    <font>
      <sz val="11"/>
      <color theme="1"/>
      <name val="Roboto"/>
    </font>
    <font>
      <b/>
      <sz val="11"/>
      <color rgb="FF9900FF"/>
      <name val="Roboto"/>
    </font>
    <font>
      <sz val="11"/>
      <color rgb="FFBC1010"/>
      <name val="Roboto"/>
    </font>
    <font>
      <sz val="11"/>
      <color rgb="FF000000"/>
      <name val="Roboto"/>
    </font>
    <font>
      <b/>
      <sz val="11"/>
      <color rgb="FF000000"/>
      <name val="Roboto"/>
    </font>
    <font>
      <sz val="11"/>
      <color rgb="FF4C1130"/>
      <name val="Roboto"/>
    </font>
    <font>
      <b/>
      <sz val="11"/>
      <color rgb="FF4C1130"/>
      <name val="Roboto"/>
    </font>
    <font>
      <b/>
      <sz val="11"/>
      <color rgb="FFFF0000"/>
      <name val="Arial"/>
    </font>
    <font>
      <sz val="11"/>
      <color rgb="FF000000"/>
      <name val="Aptos Narrow"/>
    </font>
    <font>
      <b/>
      <sz val="11"/>
      <color rgb="FF0000FF"/>
      <name val="Arial"/>
    </font>
    <font>
      <b/>
      <sz val="11"/>
      <color rgb="FFF1C232"/>
      <name val="Arial"/>
    </font>
    <font>
      <b/>
      <sz val="11"/>
      <color rgb="FF4EA72E"/>
      <name val="Arial"/>
    </font>
    <font>
      <b/>
      <sz val="11"/>
      <color rgb="FFFF0000"/>
      <name val="Calibri"/>
    </font>
    <font>
      <b/>
      <sz val="11"/>
      <color rgb="FFF1C232"/>
      <name val="Calibri"/>
    </font>
    <font>
      <b/>
      <sz val="11"/>
      <color theme="0"/>
      <name val="Roboto"/>
    </font>
    <font>
      <b/>
      <sz val="10"/>
      <color theme="1"/>
      <name val="Roboto"/>
    </font>
    <font>
      <sz val="10"/>
      <color theme="1"/>
      <name val="Roboto"/>
    </font>
    <font>
      <i/>
      <sz val="10"/>
      <color rgb="FF000000"/>
      <name val="Roboto"/>
    </font>
    <font>
      <sz val="10"/>
      <color rgb="FF000000"/>
      <name val="Roboto"/>
    </font>
    <font>
      <i/>
      <sz val="10"/>
      <color theme="1"/>
      <name val="Roboto"/>
    </font>
    <font>
      <b/>
      <sz val="14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501549"/>
        <bgColor rgb="FF501549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501549"/>
        <bgColor indexed="64"/>
      </patternFill>
    </fill>
  </fills>
  <borders count="1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49">
    <xf numFmtId="0" fontId="0" fillId="0" borderId="0" xfId="0"/>
    <xf numFmtId="0" fontId="2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6" fillId="2" borderId="8" xfId="2" applyFont="1" applyFill="1" applyBorder="1"/>
    <xf numFmtId="0" fontId="7" fillId="0" borderId="9" xfId="2" applyFont="1" applyBorder="1"/>
    <xf numFmtId="0" fontId="7" fillId="0" borderId="10" xfId="2" applyFont="1" applyBorder="1"/>
    <xf numFmtId="0" fontId="5" fillId="0" borderId="0" xfId="2"/>
    <xf numFmtId="0" fontId="8" fillId="3" borderId="8" xfId="2" applyFont="1" applyFill="1" applyBorder="1" applyAlignment="1">
      <alignment vertical="top"/>
    </xf>
    <xf numFmtId="0" fontId="9" fillId="3" borderId="2" xfId="2" applyFont="1" applyFill="1" applyBorder="1" applyAlignment="1">
      <alignment horizontal="center"/>
    </xf>
    <xf numFmtId="44" fontId="9" fillId="3" borderId="2" xfId="2" applyNumberFormat="1" applyFont="1" applyFill="1" applyBorder="1" applyAlignment="1">
      <alignment vertical="top" wrapText="1"/>
    </xf>
    <xf numFmtId="0" fontId="10" fillId="0" borderId="2" xfId="2" applyFont="1" applyBorder="1" applyAlignment="1">
      <alignment horizontal="center" vertical="center"/>
    </xf>
    <xf numFmtId="0" fontId="11" fillId="0" borderId="2" xfId="2" applyFont="1" applyBorder="1" applyAlignment="1">
      <alignment vertical="center" wrapText="1"/>
    </xf>
    <xf numFmtId="0" fontId="14" fillId="0" borderId="0" xfId="2" applyFont="1"/>
    <xf numFmtId="0" fontId="15" fillId="0" borderId="2" xfId="2" applyFont="1" applyBorder="1" applyAlignment="1">
      <alignment vertical="center" wrapText="1"/>
    </xf>
    <xf numFmtId="0" fontId="8" fillId="3" borderId="2" xfId="2" applyFont="1" applyFill="1" applyBorder="1" applyAlignment="1">
      <alignment vertical="top"/>
    </xf>
    <xf numFmtId="0" fontId="14" fillId="0" borderId="2" xfId="2" applyFont="1" applyBorder="1" applyAlignment="1">
      <alignment vertical="center"/>
    </xf>
    <xf numFmtId="0" fontId="15" fillId="0" borderId="2" xfId="2" applyFont="1" applyBorder="1" applyAlignment="1">
      <alignment vertical="center"/>
    </xf>
    <xf numFmtId="44" fontId="11" fillId="0" borderId="2" xfId="2" applyNumberFormat="1" applyFont="1" applyBorder="1" applyAlignment="1">
      <alignment vertical="center" wrapText="1"/>
    </xf>
    <xf numFmtId="0" fontId="8" fillId="3" borderId="8" xfId="2" applyFont="1" applyFill="1" applyBorder="1" applyAlignment="1">
      <alignment horizontal="left"/>
    </xf>
    <xf numFmtId="0" fontId="21" fillId="3" borderId="2" xfId="2" applyFont="1" applyFill="1" applyBorder="1" applyAlignment="1">
      <alignment horizontal="center" vertical="center"/>
    </xf>
    <xf numFmtId="44" fontId="21" fillId="3" borderId="2" xfId="2" applyNumberFormat="1" applyFont="1" applyFill="1" applyBorder="1" applyAlignment="1">
      <alignment horizontal="left" vertical="top" wrapText="1"/>
    </xf>
    <xf numFmtId="0" fontId="22" fillId="0" borderId="2" xfId="2" applyFont="1" applyBorder="1" applyAlignment="1">
      <alignment horizontal="center" vertical="center"/>
    </xf>
    <xf numFmtId="0" fontId="23" fillId="0" borderId="2" xfId="2" applyFont="1" applyBorder="1" applyAlignment="1">
      <alignment vertical="center" wrapText="1"/>
    </xf>
    <xf numFmtId="0" fontId="22" fillId="0" borderId="2" xfId="2" applyFont="1" applyBorder="1" applyAlignment="1">
      <alignment horizontal="center" vertical="center" wrapText="1"/>
    </xf>
    <xf numFmtId="0" fontId="5" fillId="0" borderId="2" xfId="2" applyBorder="1" applyAlignment="1">
      <alignment vertical="center" wrapText="1"/>
    </xf>
    <xf numFmtId="0" fontId="22" fillId="0" borderId="8" xfId="2" applyFont="1" applyBorder="1" applyAlignment="1">
      <alignment horizontal="center" vertical="center"/>
    </xf>
    <xf numFmtId="0" fontId="23" fillId="0" borderId="8" xfId="2" applyFont="1" applyBorder="1" applyAlignment="1">
      <alignment vertical="center" wrapText="1"/>
    </xf>
    <xf numFmtId="0" fontId="16" fillId="0" borderId="2" xfId="2" applyFont="1" applyBorder="1" applyAlignment="1">
      <alignment horizontal="center" vertical="top"/>
    </xf>
    <xf numFmtId="0" fontId="15" fillId="4" borderId="2" xfId="2" applyFont="1" applyFill="1" applyBorder="1" applyAlignment="1">
      <alignment vertical="center" wrapText="1"/>
    </xf>
    <xf numFmtId="0" fontId="16" fillId="0" borderId="2" xfId="2" applyFont="1" applyBorder="1" applyAlignment="1">
      <alignment horizontal="center" vertical="center"/>
    </xf>
    <xf numFmtId="0" fontId="26" fillId="0" borderId="2" xfId="2" applyFont="1" applyBorder="1" applyAlignment="1">
      <alignment vertical="center" wrapText="1"/>
    </xf>
    <xf numFmtId="0" fontId="17" fillId="0" borderId="2" xfId="2" applyFont="1" applyBorder="1" applyAlignment="1">
      <alignment horizontal="center" vertical="center"/>
    </xf>
    <xf numFmtId="0" fontId="15" fillId="0" borderId="0" xfId="2" applyFont="1" applyAlignment="1">
      <alignment vertical="center" wrapText="1"/>
    </xf>
    <xf numFmtId="0" fontId="15" fillId="0" borderId="11" xfId="2" applyFont="1" applyBorder="1" applyAlignment="1">
      <alignment vertical="center" wrapText="1"/>
    </xf>
    <xf numFmtId="0" fontId="5" fillId="0" borderId="0" xfId="2" applyAlignment="1">
      <alignment vertical="center"/>
    </xf>
    <xf numFmtId="0" fontId="17" fillId="0" borderId="3" xfId="2" applyFont="1" applyBorder="1" applyAlignment="1">
      <alignment horizontal="center" vertical="center"/>
    </xf>
    <xf numFmtId="0" fontId="15" fillId="0" borderId="3" xfId="2" applyFont="1" applyBorder="1" applyAlignment="1">
      <alignment vertical="center" wrapText="1"/>
    </xf>
    <xf numFmtId="0" fontId="9" fillId="3" borderId="2" xfId="2" applyFont="1" applyFill="1" applyBorder="1" applyAlignment="1">
      <alignment horizontal="center" vertical="top"/>
    </xf>
    <xf numFmtId="0" fontId="9" fillId="3" borderId="2" xfId="2" applyFont="1" applyFill="1" applyBorder="1" applyAlignment="1">
      <alignment horizontal="center" vertical="top" wrapText="1"/>
    </xf>
    <xf numFmtId="0" fontId="14" fillId="4" borderId="2" xfId="2" applyFont="1" applyFill="1" applyBorder="1" applyAlignment="1">
      <alignment vertical="center" wrapText="1"/>
    </xf>
    <xf numFmtId="0" fontId="16" fillId="0" borderId="3" xfId="2" applyFont="1" applyBorder="1" applyAlignment="1">
      <alignment horizontal="center" vertical="center"/>
    </xf>
    <xf numFmtId="0" fontId="14" fillId="0" borderId="0" xfId="2" applyFont="1" applyAlignment="1">
      <alignment vertical="center" wrapText="1"/>
    </xf>
    <xf numFmtId="0" fontId="14" fillId="0" borderId="2" xfId="2" applyFont="1" applyBorder="1" applyAlignment="1">
      <alignment vertical="center" wrapText="1"/>
    </xf>
    <xf numFmtId="44" fontId="9" fillId="3" borderId="8" xfId="2" applyNumberFormat="1" applyFont="1" applyFill="1" applyBorder="1" applyAlignment="1">
      <alignment vertical="top" wrapText="1"/>
    </xf>
    <xf numFmtId="0" fontId="9" fillId="3" borderId="8" xfId="2" applyFont="1" applyFill="1" applyBorder="1" applyAlignment="1">
      <alignment horizontal="center" vertical="top" wrapText="1"/>
    </xf>
    <xf numFmtId="0" fontId="15" fillId="0" borderId="8" xfId="2" applyFont="1" applyBorder="1" applyAlignment="1">
      <alignment vertical="center" wrapText="1"/>
    </xf>
    <xf numFmtId="0" fontId="14" fillId="4" borderId="2" xfId="2" applyFont="1" applyFill="1" applyBorder="1" applyAlignment="1">
      <alignment vertical="top" wrapText="1"/>
    </xf>
    <xf numFmtId="0" fontId="15" fillId="0" borderId="2" xfId="2" applyFont="1" applyBorder="1" applyAlignment="1">
      <alignment wrapText="1"/>
    </xf>
    <xf numFmtId="0" fontId="14" fillId="0" borderId="0" xfId="2" applyFont="1" applyAlignment="1">
      <alignment wrapText="1"/>
    </xf>
    <xf numFmtId="0" fontId="14" fillId="0" borderId="2" xfId="2" applyFont="1" applyBorder="1" applyAlignment="1">
      <alignment vertical="top" wrapText="1"/>
    </xf>
    <xf numFmtId="0" fontId="15" fillId="0" borderId="2" xfId="2" applyFont="1" applyBorder="1" applyAlignment="1">
      <alignment vertical="top" wrapText="1"/>
    </xf>
    <xf numFmtId="0" fontId="15" fillId="0" borderId="11" xfId="2" applyFont="1" applyBorder="1" applyAlignment="1">
      <alignment vertical="top" wrapText="1"/>
    </xf>
    <xf numFmtId="44" fontId="14" fillId="3" borderId="8" xfId="2" applyNumberFormat="1" applyFont="1" applyFill="1" applyBorder="1" applyAlignment="1">
      <alignment vertical="top"/>
    </xf>
    <xf numFmtId="0" fontId="14" fillId="3" borderId="2" xfId="2" applyFont="1" applyFill="1" applyBorder="1" applyAlignment="1">
      <alignment vertical="top"/>
    </xf>
    <xf numFmtId="0" fontId="10" fillId="0" borderId="2" xfId="2" applyFont="1" applyBorder="1" applyAlignment="1">
      <alignment horizontal="center" vertical="center" wrapText="1"/>
    </xf>
    <xf numFmtId="0" fontId="28" fillId="0" borderId="2" xfId="2" applyFont="1" applyBorder="1" applyAlignment="1">
      <alignment horizontal="center" vertical="center" wrapText="1"/>
    </xf>
    <xf numFmtId="0" fontId="29" fillId="0" borderId="2" xfId="2" applyFont="1" applyBorder="1" applyAlignment="1">
      <alignment vertical="center" wrapText="1"/>
    </xf>
    <xf numFmtId="0" fontId="28" fillId="0" borderId="3" xfId="2" applyFont="1" applyBorder="1" applyAlignment="1">
      <alignment horizontal="center" vertical="center" wrapText="1"/>
    </xf>
    <xf numFmtId="0" fontId="7" fillId="0" borderId="12" xfId="2" applyFont="1" applyBorder="1"/>
    <xf numFmtId="0" fontId="7" fillId="0" borderId="11" xfId="2" applyFont="1" applyBorder="1"/>
    <xf numFmtId="0" fontId="29" fillId="0" borderId="3" xfId="2" applyFont="1" applyBorder="1" applyAlignment="1">
      <alignment vertical="center" wrapText="1"/>
    </xf>
    <xf numFmtId="0" fontId="8" fillId="5" borderId="2" xfId="2" applyFont="1" applyFill="1" applyBorder="1" applyAlignment="1">
      <alignment vertical="top"/>
    </xf>
    <xf numFmtId="0" fontId="14" fillId="5" borderId="2" xfId="2" applyFont="1" applyFill="1" applyBorder="1" applyAlignment="1">
      <alignment vertical="top"/>
    </xf>
    <xf numFmtId="0" fontId="28" fillId="0" borderId="2" xfId="2" applyFont="1" applyBorder="1" applyAlignment="1">
      <alignment horizontal="center"/>
    </xf>
    <xf numFmtId="0" fontId="29" fillId="0" borderId="2" xfId="2" applyFont="1" applyBorder="1" applyAlignment="1">
      <alignment wrapText="1"/>
    </xf>
    <xf numFmtId="0" fontId="31" fillId="0" borderId="2" xfId="2" applyFont="1" applyBorder="1" applyAlignment="1">
      <alignment wrapText="1"/>
    </xf>
    <xf numFmtId="0" fontId="31" fillId="0" borderId="2" xfId="2" applyFont="1" applyBorder="1" applyAlignment="1">
      <alignment vertical="center" wrapText="1"/>
    </xf>
    <xf numFmtId="0" fontId="28" fillId="0" borderId="2" xfId="2" applyFont="1" applyBorder="1" applyAlignment="1">
      <alignment horizontal="center" vertical="center"/>
    </xf>
    <xf numFmtId="0" fontId="28" fillId="0" borderId="3" xfId="2" applyFont="1" applyBorder="1" applyAlignment="1">
      <alignment horizontal="center" vertical="center"/>
    </xf>
    <xf numFmtId="0" fontId="29" fillId="0" borderId="2" xfId="2" applyFont="1" applyBorder="1" applyAlignment="1">
      <alignment vertical="center"/>
    </xf>
    <xf numFmtId="0" fontId="29" fillId="0" borderId="10" xfId="2" applyFont="1" applyBorder="1" applyAlignment="1">
      <alignment vertical="center" wrapText="1"/>
    </xf>
    <xf numFmtId="0" fontId="29" fillId="0" borderId="13" xfId="2" applyFont="1" applyBorder="1" applyAlignment="1">
      <alignment vertical="center" wrapText="1"/>
    </xf>
    <xf numFmtId="0" fontId="34" fillId="6" borderId="8" xfId="2" applyFont="1" applyFill="1" applyBorder="1" applyAlignment="1">
      <alignment vertical="center"/>
    </xf>
    <xf numFmtId="0" fontId="16" fillId="0" borderId="2" xfId="2" applyFont="1" applyBorder="1" applyAlignment="1">
      <alignment horizontal="center" vertical="center" wrapText="1"/>
    </xf>
    <xf numFmtId="0" fontId="17" fillId="0" borderId="2" xfId="2" applyFont="1" applyBorder="1" applyAlignment="1">
      <alignment horizontal="center" vertical="center" wrapText="1"/>
    </xf>
    <xf numFmtId="0" fontId="8" fillId="3" borderId="8" xfId="2" applyFont="1" applyFill="1" applyBorder="1" applyAlignment="1">
      <alignment horizontal="left" vertical="top"/>
    </xf>
    <xf numFmtId="0" fontId="21" fillId="3" borderId="2" xfId="2" applyFont="1" applyFill="1" applyBorder="1" applyAlignment="1">
      <alignment horizontal="center" vertical="top"/>
    </xf>
    <xf numFmtId="0" fontId="21" fillId="3" borderId="2" xfId="2" applyFont="1" applyFill="1" applyBorder="1" applyAlignment="1">
      <alignment horizontal="center" vertical="top" wrapText="1"/>
    </xf>
    <xf numFmtId="0" fontId="37" fillId="7" borderId="2" xfId="2" applyFont="1" applyFill="1" applyBorder="1" applyAlignment="1">
      <alignment horizontal="left" vertical="center" wrapText="1"/>
    </xf>
    <xf numFmtId="0" fontId="23" fillId="0" borderId="2" xfId="2" applyFont="1" applyBorder="1" applyAlignment="1">
      <alignment horizontal="left" vertical="center" wrapText="1"/>
    </xf>
    <xf numFmtId="0" fontId="23" fillId="0" borderId="11" xfId="2" applyFont="1" applyBorder="1" applyAlignment="1">
      <alignment horizontal="left" vertical="center" wrapText="1"/>
    </xf>
    <xf numFmtId="0" fontId="23" fillId="7" borderId="2" xfId="2" applyFont="1" applyFill="1" applyBorder="1" applyAlignment="1">
      <alignment horizontal="left" vertical="center" wrapText="1"/>
    </xf>
    <xf numFmtId="0" fontId="23" fillId="0" borderId="0" xfId="2" applyFont="1" applyAlignment="1">
      <alignment horizontal="left" vertical="center" wrapText="1"/>
    </xf>
    <xf numFmtId="0" fontId="8" fillId="3" borderId="8" xfId="2" applyFont="1" applyFill="1" applyBorder="1" applyAlignment="1">
      <alignment horizontal="left" vertical="center"/>
    </xf>
    <xf numFmtId="44" fontId="21" fillId="3" borderId="2" xfId="2" applyNumberFormat="1" applyFont="1" applyFill="1" applyBorder="1" applyAlignment="1">
      <alignment horizontal="left" vertical="center" wrapText="1"/>
    </xf>
    <xf numFmtId="0" fontId="6" fillId="2" borderId="14" xfId="2" applyFont="1" applyFill="1" applyBorder="1" applyAlignment="1">
      <alignment vertical="center"/>
    </xf>
    <xf numFmtId="0" fontId="7" fillId="0" borderId="15" xfId="2" applyFont="1" applyBorder="1"/>
    <xf numFmtId="0" fontId="24" fillId="8" borderId="8" xfId="2" applyFont="1" applyFill="1" applyBorder="1" applyAlignment="1">
      <alignment horizontal="left" vertical="center"/>
    </xf>
    <xf numFmtId="0" fontId="34" fillId="6" borderId="8" xfId="2" applyFont="1" applyFill="1" applyBorder="1" applyAlignment="1">
      <alignment horizontal="left" vertical="center"/>
    </xf>
    <xf numFmtId="0" fontId="43" fillId="3" borderId="2" xfId="2" applyFont="1" applyFill="1" applyBorder="1" applyAlignment="1">
      <alignment horizontal="center" vertical="center"/>
    </xf>
    <xf numFmtId="44" fontId="43" fillId="3" borderId="2" xfId="2" applyNumberFormat="1" applyFont="1" applyFill="1" applyBorder="1" applyAlignment="1">
      <alignment horizontal="left" vertical="center" wrapText="1"/>
    </xf>
    <xf numFmtId="0" fontId="43" fillId="3" borderId="2" xfId="2" applyFont="1" applyFill="1" applyBorder="1" applyAlignment="1">
      <alignment horizontal="center" vertical="center" wrapText="1"/>
    </xf>
    <xf numFmtId="0" fontId="44" fillId="0" borderId="2" xfId="2" applyFont="1" applyBorder="1" applyAlignment="1">
      <alignment horizontal="center" vertical="center"/>
    </xf>
    <xf numFmtId="0" fontId="45" fillId="0" borderId="2" xfId="2" applyFont="1" applyBorder="1" applyAlignment="1">
      <alignment vertical="center" wrapText="1"/>
    </xf>
    <xf numFmtId="0" fontId="45" fillId="0" borderId="8" xfId="2" applyFont="1" applyBorder="1" applyAlignment="1">
      <alignment vertical="center" wrapText="1"/>
    </xf>
    <xf numFmtId="0" fontId="45" fillId="0" borderId="2" xfId="2" applyFont="1" applyBorder="1" applyAlignment="1">
      <alignment vertical="center"/>
    </xf>
    <xf numFmtId="0" fontId="45" fillId="0" borderId="3" xfId="2" applyFont="1" applyBorder="1" applyAlignment="1">
      <alignment vertical="center" wrapText="1"/>
    </xf>
    <xf numFmtId="0" fontId="24" fillId="8" borderId="8" xfId="2" applyFont="1" applyFill="1" applyBorder="1" applyAlignment="1">
      <alignment horizontal="left" vertical="center" wrapText="1"/>
    </xf>
    <xf numFmtId="0" fontId="34" fillId="6" borderId="8" xfId="2" applyFont="1" applyFill="1" applyBorder="1" applyAlignment="1">
      <alignment horizontal="left" vertical="center" wrapText="1"/>
    </xf>
    <xf numFmtId="0" fontId="44" fillId="0" borderId="2" xfId="2" applyFont="1" applyBorder="1" applyAlignment="1">
      <alignment horizontal="center" vertical="center" wrapText="1"/>
    </xf>
    <xf numFmtId="0" fontId="48" fillId="0" borderId="2" xfId="2" applyFont="1" applyBorder="1" applyAlignment="1">
      <alignment vertical="center" wrapText="1"/>
    </xf>
    <xf numFmtId="0" fontId="45" fillId="0" borderId="11" xfId="2" applyFont="1" applyBorder="1" applyAlignment="1">
      <alignment vertical="center" wrapText="1"/>
    </xf>
    <xf numFmtId="0" fontId="13" fillId="0" borderId="2" xfId="2" applyFont="1" applyBorder="1" applyAlignment="1">
      <alignment vertical="center" wrapText="1"/>
    </xf>
    <xf numFmtId="0" fontId="49" fillId="3" borderId="8" xfId="2" applyFont="1" applyFill="1" applyBorder="1" applyAlignment="1">
      <alignment horizontal="left"/>
    </xf>
    <xf numFmtId="0" fontId="10" fillId="0" borderId="2" xfId="2" applyFont="1" applyBorder="1" applyAlignment="1">
      <alignment horizontal="center"/>
    </xf>
    <xf numFmtId="0" fontId="11" fillId="0" borderId="2" xfId="2" applyFont="1" applyBorder="1" applyAlignment="1">
      <alignment wrapText="1"/>
    </xf>
    <xf numFmtId="0" fontId="12" fillId="0" borderId="2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0" borderId="0" xfId="2" applyFont="1" applyAlignment="1">
      <alignment vertical="center" wrapText="1"/>
    </xf>
    <xf numFmtId="0" fontId="5" fillId="0" borderId="0" xfId="2" applyAlignment="1">
      <alignment wrapText="1"/>
    </xf>
    <xf numFmtId="0" fontId="9" fillId="3" borderId="2" xfId="2" applyFont="1" applyFill="1" applyBorder="1" applyAlignment="1">
      <alignment horizontal="center" wrapText="1"/>
    </xf>
    <xf numFmtId="0" fontId="8" fillId="3" borderId="2" xfId="2" applyFont="1" applyFill="1" applyBorder="1" applyAlignment="1">
      <alignment vertical="top" wrapText="1"/>
    </xf>
    <xf numFmtId="0" fontId="21" fillId="3" borderId="2" xfId="2" applyFont="1" applyFill="1" applyBorder="1" applyAlignment="1">
      <alignment horizontal="center" vertical="center" wrapText="1"/>
    </xf>
    <xf numFmtId="0" fontId="14" fillId="3" borderId="8" xfId="2" applyFont="1" applyFill="1" applyBorder="1" applyAlignment="1">
      <alignment vertical="top" wrapText="1"/>
    </xf>
    <xf numFmtId="0" fontId="14" fillId="3" borderId="2" xfId="2" applyFont="1" applyFill="1" applyBorder="1" applyAlignment="1">
      <alignment vertical="top" wrapText="1"/>
    </xf>
    <xf numFmtId="0" fontId="14" fillId="5" borderId="2" xfId="2" applyFont="1" applyFill="1" applyBorder="1" applyAlignment="1">
      <alignment vertical="top" wrapText="1"/>
    </xf>
    <xf numFmtId="0" fontId="7" fillId="0" borderId="9" xfId="2" applyFont="1" applyBorder="1" applyAlignment="1"/>
    <xf numFmtId="0" fontId="7" fillId="0" borderId="9" xfId="2" applyFont="1" applyBorder="1" applyAlignment="1">
      <alignment wrapText="1"/>
    </xf>
    <xf numFmtId="0" fontId="5" fillId="0" borderId="0" xfId="2" applyFill="1"/>
    <xf numFmtId="0" fontId="21" fillId="0" borderId="2" xfId="2" applyFont="1" applyFill="1" applyBorder="1" applyAlignment="1">
      <alignment horizontal="center" vertical="center"/>
    </xf>
    <xf numFmtId="44" fontId="21" fillId="0" borderId="2" xfId="2" applyNumberFormat="1" applyFont="1" applyFill="1" applyBorder="1" applyAlignment="1">
      <alignment horizontal="left" vertical="top" wrapText="1"/>
    </xf>
    <xf numFmtId="0" fontId="21" fillId="0" borderId="2" xfId="2" applyFont="1" applyFill="1" applyBorder="1" applyAlignment="1">
      <alignment horizontal="center" vertical="center" wrapText="1"/>
    </xf>
    <xf numFmtId="0" fontId="22" fillId="0" borderId="2" xfId="2" applyFont="1" applyFill="1" applyBorder="1" applyAlignment="1">
      <alignment horizontal="center" vertical="center"/>
    </xf>
    <xf numFmtId="0" fontId="23" fillId="0" borderId="2" xfId="2" applyFont="1" applyFill="1" applyBorder="1" applyAlignment="1">
      <alignment vertical="center" wrapText="1"/>
    </xf>
    <xf numFmtId="0" fontId="15" fillId="0" borderId="2" xfId="2" applyFont="1" applyFill="1" applyBorder="1" applyAlignment="1">
      <alignment vertical="center" wrapText="1"/>
    </xf>
    <xf numFmtId="0" fontId="22" fillId="0" borderId="2" xfId="2" applyFont="1" applyFill="1" applyBorder="1" applyAlignment="1">
      <alignment horizontal="center" vertical="center" wrapText="1"/>
    </xf>
    <xf numFmtId="0" fontId="5" fillId="0" borderId="2" xfId="2" applyFill="1" applyBorder="1" applyAlignment="1">
      <alignment vertical="center" wrapText="1"/>
    </xf>
    <xf numFmtId="0" fontId="15" fillId="0" borderId="2" xfId="2" applyFont="1" applyFill="1" applyBorder="1"/>
    <xf numFmtId="0" fontId="15" fillId="0" borderId="2" xfId="2" applyFont="1" applyFill="1" applyBorder="1" applyAlignment="1">
      <alignment wrapText="1"/>
    </xf>
    <xf numFmtId="0" fontId="8" fillId="9" borderId="8" xfId="2" applyFont="1" applyFill="1" applyBorder="1" applyAlignment="1">
      <alignment horizontal="left"/>
    </xf>
    <xf numFmtId="0" fontId="7" fillId="9" borderId="9" xfId="2" applyFont="1" applyFill="1" applyBorder="1"/>
    <xf numFmtId="0" fontId="24" fillId="9" borderId="8" xfId="2" applyFont="1" applyFill="1" applyBorder="1" applyAlignment="1">
      <alignment horizontal="left" vertical="center" wrapText="1"/>
    </xf>
    <xf numFmtId="0" fontId="5" fillId="0" borderId="0" xfId="2" applyAlignment="1"/>
    <xf numFmtId="0" fontId="24" fillId="8" borderId="8" xfId="2" applyFont="1" applyFill="1" applyBorder="1" applyAlignment="1">
      <alignment horizontal="left" wrapText="1"/>
    </xf>
  </cellXfs>
  <cellStyles count="3">
    <cellStyle name="Hyperlink" xfId="1" builtinId="8"/>
    <cellStyle name="Normal" xfId="0" builtinId="0"/>
    <cellStyle name="Normal 2" xfId="2" xr:uid="{0C9F56F0-E4EC-40AB-9A50-40D3B1A7D734}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5015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63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63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5"/>
  <sheetViews>
    <sheetView topLeftCell="A29" zoomScale="69" zoomScaleNormal="69" workbookViewId="0">
      <selection activeCell="C2" sqref="C2:C64"/>
    </sheetView>
  </sheetViews>
  <sheetFormatPr defaultRowHeight="14.4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>
      <c r="A1" s="2" t="s">
        <v>39</v>
      </c>
      <c r="B1" s="2" t="s">
        <v>40</v>
      </c>
      <c r="C1" s="2" t="s">
        <v>41</v>
      </c>
      <c r="D1" s="3" t="s">
        <v>49</v>
      </c>
      <c r="F1" s="1"/>
      <c r="T1" s="2" t="str">
        <f>CONCATENATE("", COUNTIF($C:$C,TRUE)," OUT OF ", COUNTA($C2:$C1040), " ", CHAR(10), "PERCENT = ",ROUND((COUNTIF($C:$C,TRUE)/COUNTA($C2:$C1040))*100,2), "%")</f>
        <v>0 OUT OF 63 
PERCENT = 0%</v>
      </c>
      <c r="V1" t="str">
        <f>_xlfn.CONCAT("Failed or not yet done: ", COUNTIF($C:$C,FALSE))</f>
        <v>Failed or not yet done: 63</v>
      </c>
      <c r="W1" t="str">
        <f>_xlfn.CONCAT("Passed: ", COUNTIF($C:$C,TRUE))</f>
        <v>Passed: 0</v>
      </c>
    </row>
    <row r="2" spans="1:23" ht="15" thickBot="1">
      <c r="A2" s="14" t="s">
        <v>3</v>
      </c>
      <c r="B2" s="5" t="s">
        <v>48</v>
      </c>
      <c r="C2" s="8" t="b">
        <v>0</v>
      </c>
      <c r="D2" s="4"/>
      <c r="V2">
        <f>ROUND((COUNTIF($C:$C,FALSE)/COUNTA($C2:$C1040))*100,2)</f>
        <v>100</v>
      </c>
      <c r="W2">
        <f>ROUND((COUNTIF($C:$C,TRUE)/COUNTA($C2:$C1040))*100,2)</f>
        <v>0</v>
      </c>
    </row>
    <row r="3" spans="1:23" ht="15" thickBot="1">
      <c r="A3" s="14"/>
      <c r="B3" s="5" t="s">
        <v>52</v>
      </c>
      <c r="C3" s="8" t="b">
        <v>0</v>
      </c>
      <c r="D3" s="4"/>
    </row>
    <row r="4" spans="1:23" ht="15" thickBot="1">
      <c r="A4" s="15"/>
      <c r="B4" s="5" t="s">
        <v>54</v>
      </c>
      <c r="C4" s="8" t="b">
        <v>0</v>
      </c>
      <c r="D4" s="4"/>
    </row>
    <row r="5" spans="1:23" ht="15" thickBot="1">
      <c r="A5" s="14"/>
      <c r="B5" s="5" t="s">
        <v>53</v>
      </c>
      <c r="C5" s="8" t="b">
        <v>0</v>
      </c>
      <c r="D5" s="4"/>
    </row>
    <row r="6" spans="1:23" ht="15" thickBot="1">
      <c r="A6" s="14"/>
      <c r="B6" s="5" t="s">
        <v>65</v>
      </c>
      <c r="C6" s="8" t="b">
        <v>0</v>
      </c>
      <c r="D6" s="4"/>
    </row>
    <row r="7" spans="1:23" ht="15" thickBot="1">
      <c r="A7" s="15"/>
      <c r="B7" t="s">
        <v>63</v>
      </c>
      <c r="C7" s="8" t="b">
        <v>0</v>
      </c>
    </row>
    <row r="8" spans="1:23" ht="15" thickBot="1">
      <c r="A8" s="14" t="s">
        <v>0</v>
      </c>
      <c r="B8" s="5" t="s">
        <v>1</v>
      </c>
      <c r="C8" s="8" t="b">
        <v>0</v>
      </c>
    </row>
    <row r="9" spans="1:23" ht="15" thickBot="1">
      <c r="A9" s="14"/>
      <c r="B9" s="5" t="s">
        <v>2</v>
      </c>
      <c r="C9" s="8" t="b">
        <v>0</v>
      </c>
      <c r="D9" s="4"/>
    </row>
    <row r="10" spans="1:23" ht="15.6" thickTop="1" thickBot="1">
      <c r="A10" s="14"/>
      <c r="B10" s="6" t="s">
        <v>55</v>
      </c>
      <c r="C10" s="8" t="b">
        <v>0</v>
      </c>
      <c r="D10" s="4"/>
    </row>
    <row r="11" spans="1:23" ht="15" thickBot="1">
      <c r="A11" s="14"/>
      <c r="B11" s="7" t="s">
        <v>56</v>
      </c>
      <c r="C11" s="8" t="b">
        <v>0</v>
      </c>
      <c r="D11" s="4"/>
    </row>
    <row r="12" spans="1:23" ht="15" thickBot="1">
      <c r="A12" s="14"/>
      <c r="B12" s="7" t="s">
        <v>57</v>
      </c>
      <c r="C12" s="8" t="b">
        <v>0</v>
      </c>
      <c r="D12" s="4"/>
    </row>
    <row r="13" spans="1:23" ht="15" thickBot="1">
      <c r="A13" s="14"/>
      <c r="B13" s="7" t="s">
        <v>58</v>
      </c>
      <c r="C13" s="8" t="b">
        <v>0</v>
      </c>
      <c r="D13" s="4"/>
    </row>
    <row r="14" spans="1:23" ht="15" thickBot="1">
      <c r="A14" s="14"/>
      <c r="B14" t="s">
        <v>98</v>
      </c>
      <c r="C14" s="8" t="b">
        <v>0</v>
      </c>
    </row>
    <row r="15" spans="1:23" ht="15.6" thickTop="1" thickBot="1">
      <c r="A15" s="14" t="s">
        <v>42</v>
      </c>
      <c r="B15" s="6" t="s">
        <v>59</v>
      </c>
      <c r="C15" s="8" t="b">
        <v>0</v>
      </c>
      <c r="D15" s="4"/>
    </row>
    <row r="16" spans="1:23" ht="15" thickBot="1">
      <c r="A16" s="14"/>
      <c r="B16" s="7" t="s">
        <v>60</v>
      </c>
      <c r="C16" s="8" t="b">
        <v>0</v>
      </c>
      <c r="D16" s="4"/>
    </row>
    <row r="17" spans="1:4" ht="15" thickBot="1">
      <c r="A17" s="14" t="s">
        <v>43</v>
      </c>
      <c r="B17" s="5" t="s">
        <v>50</v>
      </c>
      <c r="C17" s="8" t="b">
        <v>0</v>
      </c>
      <c r="D17" s="4"/>
    </row>
    <row r="18" spans="1:4" ht="15" thickBot="1">
      <c r="A18" s="14"/>
      <c r="B18" s="5" t="s">
        <v>109</v>
      </c>
      <c r="C18" s="8" t="b">
        <v>0</v>
      </c>
      <c r="D18" s="4"/>
    </row>
    <row r="19" spans="1:4" ht="40.200000000000003" thickBot="1">
      <c r="A19" s="14"/>
      <c r="B19" s="5" t="s">
        <v>66</v>
      </c>
      <c r="C19" s="8" t="b">
        <v>0</v>
      </c>
      <c r="D19" s="4"/>
    </row>
    <row r="20" spans="1:4" ht="15" thickBot="1">
      <c r="A20" s="14" t="s">
        <v>44</v>
      </c>
      <c r="B20" s="5" t="s">
        <v>51</v>
      </c>
      <c r="C20" s="8" t="b">
        <v>0</v>
      </c>
      <c r="D20" s="4"/>
    </row>
    <row r="21" spans="1:4" ht="27.6" thickTop="1" thickBot="1">
      <c r="A21" s="14"/>
      <c r="B21" s="6" t="s">
        <v>61</v>
      </c>
      <c r="C21" s="8" t="b">
        <v>0</v>
      </c>
      <c r="D21" s="4"/>
    </row>
    <row r="22" spans="1:4" ht="15" thickBot="1">
      <c r="A22" s="14"/>
      <c r="B22" s="7" t="s">
        <v>62</v>
      </c>
      <c r="C22" s="8" t="b">
        <v>0</v>
      </c>
      <c r="D22" s="4"/>
    </row>
    <row r="23" spans="1:4" ht="27" thickBot="1">
      <c r="A23" s="14"/>
      <c r="B23" s="11" t="s">
        <v>67</v>
      </c>
      <c r="C23" s="8" t="b">
        <v>0</v>
      </c>
      <c r="D23" s="4"/>
    </row>
    <row r="24" spans="1:4" ht="27" thickBot="1">
      <c r="A24" s="14"/>
      <c r="B24" s="11" t="s">
        <v>64</v>
      </c>
      <c r="C24" s="8" t="b">
        <v>0</v>
      </c>
      <c r="D24" s="4"/>
    </row>
    <row r="25" spans="1:4" ht="15" thickBot="1">
      <c r="A25" s="14" t="s">
        <v>45</v>
      </c>
      <c r="B25" s="11" t="s">
        <v>82</v>
      </c>
      <c r="C25" s="8" t="b">
        <v>0</v>
      </c>
      <c r="D25" s="4"/>
    </row>
    <row r="26" spans="1:4" ht="15" thickBot="1">
      <c r="A26" s="14"/>
      <c r="B26" s="11" t="s">
        <v>81</v>
      </c>
      <c r="C26" s="8" t="b">
        <v>0</v>
      </c>
      <c r="D26" s="4"/>
    </row>
    <row r="27" spans="1:4" ht="15" thickBot="1">
      <c r="A27" s="14"/>
      <c r="B27" s="11" t="s">
        <v>80</v>
      </c>
      <c r="C27" s="8" t="b">
        <v>0</v>
      </c>
      <c r="D27" s="4"/>
    </row>
    <row r="28" spans="1:4" ht="15" thickBot="1">
      <c r="A28" s="14"/>
      <c r="B28" s="11" t="s">
        <v>79</v>
      </c>
      <c r="C28" s="8" t="b">
        <v>0</v>
      </c>
      <c r="D28" s="4"/>
    </row>
    <row r="29" spans="1:4" ht="15" thickBot="1">
      <c r="A29" s="14"/>
      <c r="B29" s="11" t="s">
        <v>78</v>
      </c>
      <c r="C29" s="8" t="b">
        <v>0</v>
      </c>
      <c r="D29" s="4"/>
    </row>
    <row r="30" spans="1:4" ht="15" thickBot="1">
      <c r="A30" s="14"/>
      <c r="B30" s="11" t="s">
        <v>77</v>
      </c>
      <c r="C30" s="8" t="b">
        <v>0</v>
      </c>
      <c r="D30" s="4"/>
    </row>
    <row r="31" spans="1:4" ht="15" thickBot="1">
      <c r="A31" s="14"/>
      <c r="B31" s="11" t="s">
        <v>76</v>
      </c>
      <c r="C31" s="8" t="b">
        <v>0</v>
      </c>
      <c r="D31" s="4"/>
    </row>
    <row r="32" spans="1:4" ht="15" thickBot="1">
      <c r="A32" s="14"/>
      <c r="B32" s="9" t="s">
        <v>75</v>
      </c>
      <c r="C32" s="8" t="b">
        <v>0</v>
      </c>
      <c r="D32" s="4"/>
    </row>
    <row r="33" spans="1:4" ht="27" thickBot="1">
      <c r="A33" s="14"/>
      <c r="B33" s="9" t="s">
        <v>74</v>
      </c>
      <c r="C33" s="8" t="b">
        <v>0</v>
      </c>
      <c r="D33" s="4"/>
    </row>
    <row r="34" spans="1:4" ht="15" thickBot="1">
      <c r="A34" s="14"/>
      <c r="B34" s="9" t="s">
        <v>73</v>
      </c>
      <c r="C34" s="8" t="b">
        <v>0</v>
      </c>
      <c r="D34" s="4"/>
    </row>
    <row r="35" spans="1:4" ht="15" thickBot="1">
      <c r="A35" s="14"/>
      <c r="B35" s="9" t="s">
        <v>72</v>
      </c>
      <c r="C35" s="8" t="b">
        <v>0</v>
      </c>
      <c r="D35" s="4"/>
    </row>
    <row r="36" spans="1:4" ht="27" thickBot="1">
      <c r="A36" s="14"/>
      <c r="B36" s="9" t="s">
        <v>71</v>
      </c>
      <c r="C36" s="8" t="b">
        <v>0</v>
      </c>
      <c r="D36" s="4"/>
    </row>
    <row r="37" spans="1:4" ht="15" thickBot="1">
      <c r="A37" s="14"/>
      <c r="B37" s="9" t="s">
        <v>70</v>
      </c>
      <c r="C37" s="8" t="b">
        <v>0</v>
      </c>
      <c r="D37" s="4"/>
    </row>
    <row r="38" spans="1:4" ht="27" thickBot="1">
      <c r="A38" s="14"/>
      <c r="B38" s="9" t="s">
        <v>69</v>
      </c>
      <c r="C38" s="8" t="b">
        <v>0</v>
      </c>
      <c r="D38" s="4"/>
    </row>
    <row r="39" spans="1:4" ht="15" thickBot="1">
      <c r="A39" s="15"/>
      <c r="B39" s="9" t="s">
        <v>68</v>
      </c>
      <c r="C39" s="8" t="b">
        <v>0</v>
      </c>
      <c r="D39" s="4"/>
    </row>
    <row r="40" spans="1:4" ht="15" thickBot="1">
      <c r="A40" s="14" t="s">
        <v>46</v>
      </c>
      <c r="B40" s="10" t="s">
        <v>99</v>
      </c>
      <c r="C40" s="8" t="b">
        <v>0</v>
      </c>
      <c r="D40" s="4"/>
    </row>
    <row r="41" spans="1:4" ht="15" thickBot="1">
      <c r="A41" s="14"/>
      <c r="B41" s="10" t="s">
        <v>100</v>
      </c>
      <c r="C41" s="8" t="b">
        <v>0</v>
      </c>
      <c r="D41" s="4"/>
    </row>
    <row r="42" spans="1:4" ht="27" thickBot="1">
      <c r="A42" s="14"/>
      <c r="B42" s="10" t="s">
        <v>101</v>
      </c>
      <c r="C42" s="8" t="b">
        <v>0</v>
      </c>
      <c r="D42" s="4"/>
    </row>
    <row r="43" spans="1:4" ht="27" thickBot="1">
      <c r="A43" s="14"/>
      <c r="B43" s="10" t="s">
        <v>102</v>
      </c>
      <c r="C43" s="8" t="b">
        <v>0</v>
      </c>
      <c r="D43" s="4"/>
    </row>
    <row r="44" spans="1:4" ht="27" thickBot="1">
      <c r="A44" s="14"/>
      <c r="B44" s="10" t="s">
        <v>103</v>
      </c>
      <c r="C44" s="8" t="b">
        <v>0</v>
      </c>
      <c r="D44" s="4"/>
    </row>
    <row r="45" spans="1:4" ht="27" thickBot="1">
      <c r="A45" s="14"/>
      <c r="B45" s="10" t="s">
        <v>104</v>
      </c>
      <c r="C45" s="8" t="b">
        <v>0</v>
      </c>
      <c r="D45" s="4"/>
    </row>
    <row r="46" spans="1:4" ht="15" thickBot="1">
      <c r="A46" s="14" t="s">
        <v>47</v>
      </c>
      <c r="B46" s="12" t="s">
        <v>83</v>
      </c>
      <c r="C46" s="8" t="b">
        <v>0</v>
      </c>
      <c r="D46" s="4"/>
    </row>
    <row r="47" spans="1:4" ht="15" thickBot="1">
      <c r="A47" s="14"/>
      <c r="B47" s="12" t="s">
        <v>84</v>
      </c>
      <c r="C47" s="8" t="b">
        <v>0</v>
      </c>
      <c r="D47" s="4"/>
    </row>
    <row r="48" spans="1:4" ht="15" thickBot="1">
      <c r="A48" s="15"/>
      <c r="B48" s="12" t="s">
        <v>85</v>
      </c>
      <c r="C48" s="8" t="b">
        <v>0</v>
      </c>
      <c r="D48" s="4"/>
    </row>
    <row r="49" spans="1:4" ht="27" thickBot="1">
      <c r="A49" s="14"/>
      <c r="B49" s="12" t="s">
        <v>86</v>
      </c>
      <c r="C49" s="8" t="b">
        <v>0</v>
      </c>
      <c r="D49" s="4"/>
    </row>
    <row r="50" spans="1:4" ht="15" thickBot="1">
      <c r="A50" s="14"/>
      <c r="B50" s="12" t="s">
        <v>87</v>
      </c>
      <c r="C50" s="8" t="b">
        <v>0</v>
      </c>
      <c r="D50" s="4"/>
    </row>
    <row r="51" spans="1:4" ht="15" thickBot="1">
      <c r="A51" s="14"/>
      <c r="B51" s="12" t="s">
        <v>88</v>
      </c>
      <c r="C51" s="8" t="b">
        <v>0</v>
      </c>
      <c r="D51" s="4"/>
    </row>
    <row r="52" spans="1:4" ht="27" thickBot="1">
      <c r="A52" s="14"/>
      <c r="B52" s="12" t="s">
        <v>89</v>
      </c>
      <c r="C52" s="8" t="b">
        <v>0</v>
      </c>
      <c r="D52" s="4"/>
    </row>
    <row r="53" spans="1:4">
      <c r="A53" s="16"/>
      <c r="B53" s="13" t="s">
        <v>90</v>
      </c>
      <c r="C53" s="8" t="b">
        <v>0</v>
      </c>
      <c r="D53" s="4"/>
    </row>
    <row r="54" spans="1:4" ht="26.4">
      <c r="A54" s="16"/>
      <c r="B54" s="13" t="s">
        <v>91</v>
      </c>
      <c r="C54" s="8" t="b">
        <v>0</v>
      </c>
      <c r="D54" s="4"/>
    </row>
    <row r="55" spans="1:4" ht="26.4">
      <c r="A55" s="16"/>
      <c r="B55" s="13" t="s">
        <v>92</v>
      </c>
      <c r="C55" s="8" t="b">
        <v>0</v>
      </c>
      <c r="D55" s="4"/>
    </row>
    <row r="56" spans="1:4">
      <c r="A56" s="16"/>
      <c r="B56" s="13" t="s">
        <v>93</v>
      </c>
      <c r="C56" s="8" t="b">
        <v>0</v>
      </c>
      <c r="D56" s="4"/>
    </row>
    <row r="57" spans="1:4">
      <c r="A57" s="16"/>
      <c r="B57" s="13" t="s">
        <v>94</v>
      </c>
      <c r="C57" s="8" t="b">
        <v>0</v>
      </c>
      <c r="D57" s="4"/>
    </row>
    <row r="58" spans="1:4" ht="26.4">
      <c r="A58" s="16"/>
      <c r="B58" s="13" t="s">
        <v>95</v>
      </c>
      <c r="C58" s="8" t="b">
        <v>0</v>
      </c>
      <c r="D58" s="4"/>
    </row>
    <row r="59" spans="1:4">
      <c r="A59" s="16"/>
      <c r="B59" s="13" t="s">
        <v>96</v>
      </c>
      <c r="C59" s="8" t="b">
        <v>0</v>
      </c>
      <c r="D59" s="4"/>
    </row>
    <row r="60" spans="1:4" ht="26.4">
      <c r="A60" s="16"/>
      <c r="B60" s="13" t="s">
        <v>97</v>
      </c>
      <c r="C60" s="8" t="b">
        <v>0</v>
      </c>
      <c r="D60" s="4"/>
    </row>
    <row r="61" spans="1:4" ht="15" thickBot="1">
      <c r="A61" s="16"/>
      <c r="B61" s="13" t="s">
        <v>110</v>
      </c>
      <c r="C61" s="8" t="b">
        <v>0</v>
      </c>
      <c r="D61" s="4"/>
    </row>
    <row r="62" spans="1:4" ht="15" thickBot="1">
      <c r="A62" s="2" t="s">
        <v>105</v>
      </c>
      <c r="B62" s="12" t="s">
        <v>106</v>
      </c>
      <c r="C62" s="8" t="b">
        <v>0</v>
      </c>
      <c r="D62" s="4"/>
    </row>
    <row r="63" spans="1:4" ht="15" thickBot="1">
      <c r="A63" s="12"/>
      <c r="B63" s="12" t="s">
        <v>107</v>
      </c>
      <c r="C63" s="8" t="b">
        <v>0</v>
      </c>
    </row>
    <row r="64" spans="1:4" ht="15" thickBot="1">
      <c r="A64" s="12"/>
      <c r="B64" s="12" t="s">
        <v>108</v>
      </c>
      <c r="C64" s="8" t="b">
        <v>0</v>
      </c>
      <c r="D64" s="4"/>
    </row>
    <row r="65" spans="3:3">
      <c r="C65" s="17"/>
    </row>
  </sheetData>
  <conditionalFormatting sqref="C2:C65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C167-5503-420D-BE09-CCD91DF3FFDB}">
  <sheetPr>
    <outlinePr summaryBelow="0" summaryRight="0"/>
  </sheetPr>
  <dimension ref="A1:Z637"/>
  <sheetViews>
    <sheetView tabSelected="1" topLeftCell="A552" workbookViewId="0">
      <selection activeCell="E644" sqref="E644"/>
    </sheetView>
  </sheetViews>
  <sheetFormatPr defaultColWidth="12.6640625" defaultRowHeight="15" customHeight="1" outlineLevelRow="2"/>
  <cols>
    <col min="1" max="1" width="12.6640625" style="21"/>
    <col min="2" max="2" width="49.33203125" style="21" customWidth="1"/>
    <col min="3" max="3" width="59.109375" style="124" customWidth="1"/>
    <col min="4" max="16384" width="12.6640625" style="21"/>
  </cols>
  <sheetData>
    <row r="1" spans="1:4" ht="21.6">
      <c r="A1" s="18" t="s">
        <v>111</v>
      </c>
      <c r="B1" s="19"/>
      <c r="C1" s="20"/>
    </row>
    <row r="2" spans="1:4" ht="17.399999999999999" collapsed="1">
      <c r="A2" s="22" t="s">
        <v>4</v>
      </c>
      <c r="B2" s="19"/>
      <c r="C2" s="20"/>
    </row>
    <row r="3" spans="1:4" ht="14.4" hidden="1" outlineLevel="1">
      <c r="A3" s="23" t="s">
        <v>5</v>
      </c>
      <c r="B3" s="24" t="s">
        <v>6</v>
      </c>
      <c r="C3" s="125" t="s">
        <v>7</v>
      </c>
    </row>
    <row r="4" spans="1:4" ht="14.4" hidden="1" outlineLevel="1">
      <c r="A4" s="25" t="s">
        <v>8</v>
      </c>
      <c r="B4" s="26" t="s">
        <v>9</v>
      </c>
      <c r="C4" s="26" t="s">
        <v>10</v>
      </c>
    </row>
    <row r="5" spans="1:4" ht="14.4" hidden="1" outlineLevel="1">
      <c r="A5" s="25" t="s">
        <v>11</v>
      </c>
      <c r="B5" s="26" t="s">
        <v>112</v>
      </c>
      <c r="C5" s="26" t="s">
        <v>12</v>
      </c>
    </row>
    <row r="6" spans="1:4" ht="14.4" hidden="1" outlineLevel="1">
      <c r="A6" s="25" t="s">
        <v>13</v>
      </c>
      <c r="B6" s="26" t="s">
        <v>16</v>
      </c>
      <c r="C6" s="26" t="s">
        <v>17</v>
      </c>
    </row>
    <row r="7" spans="1:4" ht="28.8" hidden="1" outlineLevel="1">
      <c r="A7" s="25" t="s">
        <v>14</v>
      </c>
      <c r="B7" s="26" t="s">
        <v>113</v>
      </c>
      <c r="C7" s="26" t="s">
        <v>19</v>
      </c>
    </row>
    <row r="8" spans="1:4" ht="28.8" hidden="1" outlineLevel="1">
      <c r="A8" s="25" t="s">
        <v>15</v>
      </c>
      <c r="B8" s="26" t="s">
        <v>114</v>
      </c>
      <c r="C8" s="26" t="s">
        <v>21</v>
      </c>
    </row>
    <row r="9" spans="1:4" ht="14.4" hidden="1" outlineLevel="1">
      <c r="A9" s="25" t="s">
        <v>18</v>
      </c>
      <c r="B9" s="26" t="s">
        <v>115</v>
      </c>
      <c r="C9" s="26" t="s">
        <v>23</v>
      </c>
    </row>
    <row r="10" spans="1:4" ht="17.399999999999999" collapsed="1">
      <c r="A10" s="22" t="s">
        <v>116</v>
      </c>
      <c r="B10" s="19"/>
      <c r="C10" s="20"/>
    </row>
    <row r="11" spans="1:4" ht="14.4" hidden="1" outlineLevel="1">
      <c r="A11" s="23" t="s">
        <v>5</v>
      </c>
      <c r="B11" s="24" t="s">
        <v>6</v>
      </c>
      <c r="C11" s="125" t="s">
        <v>7</v>
      </c>
    </row>
    <row r="12" spans="1:4" ht="28.8" hidden="1" outlineLevel="1">
      <c r="A12" s="25" t="s">
        <v>8</v>
      </c>
      <c r="B12" s="26" t="s">
        <v>117</v>
      </c>
      <c r="C12" s="26" t="s">
        <v>118</v>
      </c>
      <c r="D12" s="27"/>
    </row>
    <row r="13" spans="1:4" ht="14.4" hidden="1" outlineLevel="1">
      <c r="A13" s="25" t="s">
        <v>11</v>
      </c>
      <c r="B13" s="26" t="s">
        <v>119</v>
      </c>
      <c r="C13" s="26" t="s">
        <v>120</v>
      </c>
      <c r="D13" s="27"/>
    </row>
    <row r="14" spans="1:4" ht="14.4" hidden="1" outlineLevel="1">
      <c r="A14" s="25" t="s">
        <v>13</v>
      </c>
      <c r="B14" s="26" t="s">
        <v>121</v>
      </c>
      <c r="C14" s="26" t="s">
        <v>122</v>
      </c>
      <c r="D14" s="27"/>
    </row>
    <row r="15" spans="1:4" ht="14.4" hidden="1" outlineLevel="1">
      <c r="A15" s="25" t="s">
        <v>14</v>
      </c>
      <c r="B15" s="26" t="s">
        <v>115</v>
      </c>
      <c r="C15" s="26" t="s">
        <v>23</v>
      </c>
    </row>
    <row r="16" spans="1:4" ht="17.399999999999999" collapsed="1">
      <c r="A16" s="22" t="s">
        <v>123</v>
      </c>
      <c r="B16" s="19"/>
      <c r="C16" s="20"/>
    </row>
    <row r="17" spans="1:3" ht="14.4" hidden="1" outlineLevel="1">
      <c r="A17" s="23" t="s">
        <v>5</v>
      </c>
      <c r="B17" s="24" t="s">
        <v>6</v>
      </c>
      <c r="C17" s="125" t="s">
        <v>7</v>
      </c>
    </row>
    <row r="18" spans="1:3" ht="28.8" hidden="1" outlineLevel="1">
      <c r="A18" s="25" t="s">
        <v>8</v>
      </c>
      <c r="B18" s="26" t="s">
        <v>124</v>
      </c>
      <c r="C18" s="26" t="s">
        <v>125</v>
      </c>
    </row>
    <row r="19" spans="1:3" ht="14.4" hidden="1" outlineLevel="1">
      <c r="A19" s="25" t="s">
        <v>11</v>
      </c>
      <c r="B19" s="26" t="s">
        <v>126</v>
      </c>
      <c r="C19" s="26" t="s">
        <v>127</v>
      </c>
    </row>
    <row r="20" spans="1:3" ht="27.6" hidden="1" outlineLevel="1">
      <c r="A20" s="25" t="s">
        <v>13</v>
      </c>
      <c r="B20" s="26" t="s">
        <v>128</v>
      </c>
      <c r="C20" s="28" t="s">
        <v>129</v>
      </c>
    </row>
    <row r="21" spans="1:3" ht="14.4" hidden="1" outlineLevel="1">
      <c r="A21" s="25" t="s">
        <v>14</v>
      </c>
      <c r="B21" s="26" t="s">
        <v>130</v>
      </c>
      <c r="C21" s="28" t="s">
        <v>131</v>
      </c>
    </row>
    <row r="22" spans="1:3" ht="17.399999999999999" collapsed="1">
      <c r="A22" s="29" t="s">
        <v>132</v>
      </c>
      <c r="B22" s="29"/>
      <c r="C22" s="126"/>
    </row>
    <row r="23" spans="1:3" ht="14.4" hidden="1" outlineLevel="1">
      <c r="A23" s="23" t="s">
        <v>5</v>
      </c>
      <c r="B23" s="24" t="s">
        <v>6</v>
      </c>
      <c r="C23" s="125" t="s">
        <v>7</v>
      </c>
    </row>
    <row r="24" spans="1:3" ht="28.8" hidden="1" outlineLevel="1">
      <c r="A24" s="25" t="s">
        <v>8</v>
      </c>
      <c r="B24" s="26" t="s">
        <v>133</v>
      </c>
      <c r="C24" s="28" t="s">
        <v>129</v>
      </c>
    </row>
    <row r="25" spans="1:3" ht="14.4" hidden="1" outlineLevel="1">
      <c r="A25" s="25" t="s">
        <v>11</v>
      </c>
      <c r="B25" s="26" t="s">
        <v>134</v>
      </c>
      <c r="C25" s="26" t="s">
        <v>23</v>
      </c>
    </row>
    <row r="26" spans="1:3" ht="17.399999999999999" collapsed="1">
      <c r="A26" s="29" t="s">
        <v>135</v>
      </c>
      <c r="B26" s="29"/>
      <c r="C26" s="126"/>
    </row>
    <row r="27" spans="1:3" ht="14.4" hidden="1" outlineLevel="1">
      <c r="A27" s="23" t="s">
        <v>5</v>
      </c>
      <c r="B27" s="24" t="s">
        <v>6</v>
      </c>
      <c r="C27" s="125" t="s">
        <v>7</v>
      </c>
    </row>
    <row r="28" spans="1:3" ht="14.4" hidden="1" outlineLevel="1">
      <c r="A28" s="25" t="s">
        <v>8</v>
      </c>
      <c r="B28" s="30" t="s">
        <v>136</v>
      </c>
      <c r="C28" s="57" t="s">
        <v>137</v>
      </c>
    </row>
    <row r="29" spans="1:3" ht="27.6" hidden="1" outlineLevel="1">
      <c r="A29" s="25" t="s">
        <v>11</v>
      </c>
      <c r="B29" s="30" t="s">
        <v>138</v>
      </c>
      <c r="C29" s="57" t="s">
        <v>139</v>
      </c>
    </row>
    <row r="30" spans="1:3" ht="41.4" hidden="1" outlineLevel="1">
      <c r="A30" s="25" t="s">
        <v>13</v>
      </c>
      <c r="B30" s="30" t="s">
        <v>140</v>
      </c>
      <c r="C30" s="57" t="s">
        <v>141</v>
      </c>
    </row>
    <row r="31" spans="1:3" ht="82.8" hidden="1" outlineLevel="1">
      <c r="A31" s="25" t="s">
        <v>14</v>
      </c>
      <c r="B31" s="31" t="s">
        <v>142</v>
      </c>
      <c r="C31" s="28" t="s">
        <v>143</v>
      </c>
    </row>
    <row r="32" spans="1:3" ht="21.6">
      <c r="A32" s="18" t="s">
        <v>144</v>
      </c>
      <c r="B32" s="19"/>
      <c r="C32" s="20"/>
    </row>
    <row r="33" spans="1:3" ht="17.399999999999999" collapsed="1">
      <c r="A33" s="29" t="s">
        <v>145</v>
      </c>
      <c r="B33" s="29"/>
      <c r="C33" s="126"/>
    </row>
    <row r="34" spans="1:3" ht="14.4" hidden="1" outlineLevel="1">
      <c r="A34" s="23" t="s">
        <v>5</v>
      </c>
      <c r="B34" s="24" t="s">
        <v>6</v>
      </c>
      <c r="C34" s="125" t="s">
        <v>7</v>
      </c>
    </row>
    <row r="35" spans="1:3" ht="14.4" hidden="1" outlineLevel="1">
      <c r="A35" s="25" t="s">
        <v>8</v>
      </c>
      <c r="B35" s="26" t="s">
        <v>24</v>
      </c>
      <c r="C35" s="26" t="s">
        <v>146</v>
      </c>
    </row>
    <row r="36" spans="1:3" ht="14.4" hidden="1" outlineLevel="1">
      <c r="A36" s="25" t="s">
        <v>11</v>
      </c>
      <c r="B36" s="26" t="s">
        <v>147</v>
      </c>
      <c r="C36" s="26" t="s">
        <v>148</v>
      </c>
    </row>
    <row r="37" spans="1:3" ht="14.4" hidden="1" outlineLevel="1">
      <c r="A37" s="25" t="s">
        <v>13</v>
      </c>
      <c r="B37" s="31" t="s">
        <v>149</v>
      </c>
      <c r="C37" s="28" t="s">
        <v>150</v>
      </c>
    </row>
    <row r="38" spans="1:3" ht="28.8" hidden="1" outlineLevel="1">
      <c r="A38" s="25" t="s">
        <v>14</v>
      </c>
      <c r="B38" s="32" t="s">
        <v>25</v>
      </c>
      <c r="C38" s="26" t="s">
        <v>26</v>
      </c>
    </row>
    <row r="39" spans="1:3" ht="14.4" hidden="1" outlineLevel="1">
      <c r="A39" s="25" t="s">
        <v>15</v>
      </c>
      <c r="B39" s="26" t="s">
        <v>27</v>
      </c>
      <c r="C39" s="26" t="s">
        <v>151</v>
      </c>
    </row>
    <row r="40" spans="1:3" ht="43.2" hidden="1" outlineLevel="1">
      <c r="A40" s="25" t="s">
        <v>18</v>
      </c>
      <c r="B40" s="26" t="s">
        <v>28</v>
      </c>
      <c r="C40" s="26" t="s">
        <v>152</v>
      </c>
    </row>
    <row r="41" spans="1:3" ht="28.8" hidden="1" outlineLevel="1">
      <c r="A41" s="25" t="s">
        <v>20</v>
      </c>
      <c r="B41" s="32" t="s">
        <v>30</v>
      </c>
      <c r="C41" s="26" t="s">
        <v>31</v>
      </c>
    </row>
    <row r="42" spans="1:3" ht="14.4" hidden="1" outlineLevel="1">
      <c r="A42" s="25" t="s">
        <v>22</v>
      </c>
      <c r="B42" s="26" t="s">
        <v>115</v>
      </c>
      <c r="C42" s="26" t="s">
        <v>33</v>
      </c>
    </row>
    <row r="43" spans="1:3" ht="17.399999999999999" collapsed="1">
      <c r="A43" s="29" t="s">
        <v>153</v>
      </c>
      <c r="B43" s="29"/>
      <c r="C43" s="126"/>
    </row>
    <row r="44" spans="1:3" ht="14.4" hidden="1" outlineLevel="1">
      <c r="A44" s="23" t="s">
        <v>5</v>
      </c>
      <c r="B44" s="24" t="s">
        <v>6</v>
      </c>
      <c r="C44" s="125" t="s">
        <v>7</v>
      </c>
    </row>
    <row r="45" spans="1:3" ht="14.4" hidden="1" outlineLevel="1">
      <c r="A45" s="25" t="s">
        <v>8</v>
      </c>
      <c r="B45" s="26" t="s">
        <v>154</v>
      </c>
      <c r="C45" s="26" t="s">
        <v>33</v>
      </c>
    </row>
    <row r="46" spans="1:3" ht="28.8" hidden="1" outlineLevel="1">
      <c r="A46" s="25" t="s">
        <v>11</v>
      </c>
      <c r="B46" s="26" t="s">
        <v>155</v>
      </c>
      <c r="C46" s="26" t="s">
        <v>156</v>
      </c>
    </row>
    <row r="47" spans="1:3" ht="14.4" hidden="1" outlineLevel="1">
      <c r="A47" s="25" t="s">
        <v>13</v>
      </c>
      <c r="B47" s="26" t="s">
        <v>157</v>
      </c>
      <c r="C47" s="26" t="s">
        <v>158</v>
      </c>
    </row>
    <row r="48" spans="1:3" ht="28.8" hidden="1" outlineLevel="1">
      <c r="A48" s="25" t="s">
        <v>14</v>
      </c>
      <c r="B48" s="26" t="s">
        <v>159</v>
      </c>
      <c r="C48" s="26" t="s">
        <v>160</v>
      </c>
    </row>
    <row r="49" spans="1:3" ht="14.4" hidden="1" outlineLevel="1">
      <c r="A49" s="25" t="s">
        <v>161</v>
      </c>
      <c r="B49" s="26" t="s">
        <v>162</v>
      </c>
      <c r="C49" s="26" t="s">
        <v>163</v>
      </c>
    </row>
    <row r="50" spans="1:3" ht="17.399999999999999" collapsed="1">
      <c r="A50" s="29" t="s">
        <v>164</v>
      </c>
      <c r="B50" s="29"/>
      <c r="C50" s="126"/>
    </row>
    <row r="51" spans="1:3" ht="14.4" hidden="1" outlineLevel="1">
      <c r="A51" s="23" t="s">
        <v>5</v>
      </c>
      <c r="B51" s="24" t="s">
        <v>6</v>
      </c>
      <c r="C51" s="125" t="s">
        <v>7</v>
      </c>
    </row>
    <row r="52" spans="1:3" ht="43.2" hidden="1" outlineLevel="1">
      <c r="A52" s="25" t="s">
        <v>8</v>
      </c>
      <c r="B52" s="26" t="s">
        <v>165</v>
      </c>
      <c r="C52" s="26" t="s">
        <v>166</v>
      </c>
    </row>
    <row r="53" spans="1:3" ht="43.2" hidden="1" outlineLevel="1">
      <c r="A53" s="25" t="s">
        <v>11</v>
      </c>
      <c r="B53" s="26" t="s">
        <v>167</v>
      </c>
      <c r="C53" s="26" t="s">
        <v>168</v>
      </c>
    </row>
    <row r="54" spans="1:3" ht="100.8" hidden="1" outlineLevel="1">
      <c r="A54" s="25" t="s">
        <v>13</v>
      </c>
      <c r="B54" s="26" t="s">
        <v>169</v>
      </c>
      <c r="C54" s="26" t="s">
        <v>170</v>
      </c>
    </row>
    <row r="55" spans="1:3" ht="55.2" hidden="1" outlineLevel="1">
      <c r="A55" s="25" t="s">
        <v>14</v>
      </c>
      <c r="B55" s="31" t="s">
        <v>171</v>
      </c>
      <c r="C55" s="39" t="s">
        <v>172</v>
      </c>
    </row>
    <row r="56" spans="1:3" ht="17.399999999999999" collapsed="1">
      <c r="A56" s="29" t="s">
        <v>135</v>
      </c>
      <c r="B56" s="29"/>
      <c r="C56" s="126"/>
    </row>
    <row r="57" spans="1:3" ht="14.4" hidden="1" outlineLevel="1">
      <c r="A57" s="23" t="s">
        <v>5</v>
      </c>
      <c r="B57" s="24" t="s">
        <v>6</v>
      </c>
      <c r="C57" s="125" t="s">
        <v>7</v>
      </c>
    </row>
    <row r="58" spans="1:3" ht="14.4" hidden="1" outlineLevel="1">
      <c r="A58" s="25" t="s">
        <v>8</v>
      </c>
      <c r="B58" s="30" t="s">
        <v>136</v>
      </c>
      <c r="C58" s="57" t="s">
        <v>137</v>
      </c>
    </row>
    <row r="59" spans="1:3" ht="27.6" hidden="1" outlineLevel="1">
      <c r="A59" s="25" t="s">
        <v>11</v>
      </c>
      <c r="B59" s="30" t="s">
        <v>138</v>
      </c>
      <c r="C59" s="57" t="s">
        <v>139</v>
      </c>
    </row>
    <row r="60" spans="1:3" ht="41.4" hidden="1" outlineLevel="1">
      <c r="A60" s="25" t="s">
        <v>13</v>
      </c>
      <c r="B60" s="30" t="s">
        <v>140</v>
      </c>
      <c r="C60" s="57" t="s">
        <v>173</v>
      </c>
    </row>
    <row r="61" spans="1:3" ht="41.4" hidden="1" outlineLevel="1">
      <c r="A61" s="25" t="s">
        <v>14</v>
      </c>
      <c r="B61" s="30" t="s">
        <v>174</v>
      </c>
      <c r="C61" s="57" t="s">
        <v>175</v>
      </c>
    </row>
    <row r="62" spans="1:3" ht="138" hidden="1" outlineLevel="1">
      <c r="A62" s="25" t="s">
        <v>15</v>
      </c>
      <c r="B62" s="31" t="s">
        <v>142</v>
      </c>
      <c r="C62" s="28" t="s">
        <v>176</v>
      </c>
    </row>
    <row r="63" spans="1:3" s="133" customFormat="1" ht="17.399999999999999" collapsed="1">
      <c r="A63" s="144" t="s">
        <v>177</v>
      </c>
      <c r="B63" s="145"/>
      <c r="C63" s="145"/>
    </row>
    <row r="64" spans="1:3" s="133" customFormat="1" ht="14.4" hidden="1" outlineLevel="1">
      <c r="A64" s="134" t="s">
        <v>5</v>
      </c>
      <c r="B64" s="135" t="s">
        <v>6</v>
      </c>
      <c r="C64" s="136" t="s">
        <v>7</v>
      </c>
    </row>
    <row r="65" spans="1:3" s="133" customFormat="1" ht="41.4" hidden="1" outlineLevel="1">
      <c r="A65" s="137" t="s">
        <v>8</v>
      </c>
      <c r="B65" s="138" t="s">
        <v>178</v>
      </c>
      <c r="C65" s="138" t="s">
        <v>125</v>
      </c>
    </row>
    <row r="66" spans="1:3" s="133" customFormat="1" ht="14.4" hidden="1" outlineLevel="1">
      <c r="A66" s="137" t="s">
        <v>11</v>
      </c>
      <c r="B66" s="138" t="s">
        <v>179</v>
      </c>
      <c r="C66" s="139" t="s">
        <v>180</v>
      </c>
    </row>
    <row r="67" spans="1:3" s="133" customFormat="1" ht="14.4" hidden="1" outlineLevel="1">
      <c r="A67" s="137" t="s">
        <v>13</v>
      </c>
      <c r="B67" s="138" t="s">
        <v>181</v>
      </c>
      <c r="C67" s="138" t="s">
        <v>182</v>
      </c>
    </row>
    <row r="68" spans="1:3" s="133" customFormat="1" ht="27.6" hidden="1" outlineLevel="1">
      <c r="A68" s="137" t="s">
        <v>14</v>
      </c>
      <c r="B68" s="138" t="s">
        <v>183</v>
      </c>
      <c r="C68" s="139" t="s">
        <v>184</v>
      </c>
    </row>
    <row r="69" spans="1:3" s="133" customFormat="1" ht="14.4" hidden="1" outlineLevel="1">
      <c r="A69" s="137" t="s">
        <v>15</v>
      </c>
      <c r="B69" s="138" t="s">
        <v>185</v>
      </c>
      <c r="C69" s="139" t="s">
        <v>186</v>
      </c>
    </row>
    <row r="70" spans="1:3" s="133" customFormat="1" ht="17.399999999999999" collapsed="1">
      <c r="A70" s="144" t="s">
        <v>187</v>
      </c>
      <c r="B70" s="145"/>
      <c r="C70" s="145"/>
    </row>
    <row r="71" spans="1:3" s="133" customFormat="1" ht="14.4" hidden="1" outlineLevel="1">
      <c r="A71" s="134" t="s">
        <v>5</v>
      </c>
      <c r="B71" s="135" t="s">
        <v>6</v>
      </c>
      <c r="C71" s="136" t="s">
        <v>7</v>
      </c>
    </row>
    <row r="72" spans="1:3" s="133" customFormat="1" ht="27.6" hidden="1" outlineLevel="1">
      <c r="A72" s="140" t="s">
        <v>8</v>
      </c>
      <c r="B72" s="138" t="s">
        <v>188</v>
      </c>
      <c r="C72" s="138" t="s">
        <v>189</v>
      </c>
    </row>
    <row r="73" spans="1:3" s="133" customFormat="1" ht="14.4" hidden="1" outlineLevel="1">
      <c r="A73" s="140" t="s">
        <v>11</v>
      </c>
      <c r="B73" s="138" t="s">
        <v>190</v>
      </c>
      <c r="C73" s="138" t="s">
        <v>191</v>
      </c>
    </row>
    <row r="74" spans="1:3" s="133" customFormat="1" ht="27.6" hidden="1" outlineLevel="1">
      <c r="A74" s="140" t="s">
        <v>13</v>
      </c>
      <c r="B74" s="141" t="s">
        <v>192</v>
      </c>
      <c r="C74" s="139" t="s">
        <v>122</v>
      </c>
    </row>
    <row r="75" spans="1:3" s="133" customFormat="1" ht="14.4" hidden="1" outlineLevel="1">
      <c r="A75" s="140" t="s">
        <v>14</v>
      </c>
      <c r="B75" s="139" t="s">
        <v>193</v>
      </c>
      <c r="C75" s="139" t="s">
        <v>33</v>
      </c>
    </row>
    <row r="76" spans="1:3" s="133" customFormat="1" ht="14.4" hidden="1" outlineLevel="1">
      <c r="A76" s="140" t="s">
        <v>15</v>
      </c>
      <c r="B76" s="142" t="s">
        <v>194</v>
      </c>
      <c r="C76" s="143" t="s">
        <v>195</v>
      </c>
    </row>
    <row r="77" spans="1:3" s="133" customFormat="1" ht="14.4" collapsed="1">
      <c r="A77" s="146" t="s">
        <v>196</v>
      </c>
      <c r="B77" s="145"/>
      <c r="C77" s="145"/>
    </row>
    <row r="78" spans="1:3" ht="14.4" hidden="1" outlineLevel="1">
      <c r="A78" s="34" t="s">
        <v>5</v>
      </c>
      <c r="B78" s="35" t="s">
        <v>6</v>
      </c>
      <c r="C78" s="127" t="s">
        <v>7</v>
      </c>
    </row>
    <row r="79" spans="1:3" ht="27.6" hidden="1" outlineLevel="1">
      <c r="A79" s="36" t="s">
        <v>8</v>
      </c>
      <c r="B79" s="37" t="s">
        <v>188</v>
      </c>
      <c r="C79" s="37" t="s">
        <v>197</v>
      </c>
    </row>
    <row r="80" spans="1:3" ht="14.4" hidden="1" outlineLevel="1">
      <c r="A80" s="40" t="s">
        <v>11</v>
      </c>
      <c r="B80" s="41" t="s">
        <v>198</v>
      </c>
      <c r="C80" s="41" t="s">
        <v>199</v>
      </c>
    </row>
    <row r="81" spans="1:3" ht="27.6" hidden="1" outlineLevel="1">
      <c r="A81" s="40" t="s">
        <v>13</v>
      </c>
      <c r="B81" s="37" t="s">
        <v>200</v>
      </c>
      <c r="C81" s="41" t="s">
        <v>201</v>
      </c>
    </row>
    <row r="82" spans="1:3" ht="14.4" hidden="1" outlineLevel="1">
      <c r="A82" s="40" t="s">
        <v>14</v>
      </c>
      <c r="B82" s="41" t="s">
        <v>202</v>
      </c>
      <c r="C82" s="41" t="s">
        <v>203</v>
      </c>
    </row>
    <row r="83" spans="1:3" ht="21.6">
      <c r="A83" s="18" t="s">
        <v>204</v>
      </c>
      <c r="B83" s="19"/>
      <c r="C83" s="20"/>
    </row>
    <row r="84" spans="1:3" ht="17.399999999999999" collapsed="1">
      <c r="A84" s="29" t="s">
        <v>205</v>
      </c>
      <c r="B84" s="29"/>
      <c r="C84" s="126"/>
    </row>
    <row r="85" spans="1:3" ht="14.4" hidden="1" outlineLevel="1">
      <c r="A85" s="23" t="s">
        <v>5</v>
      </c>
      <c r="B85" s="24" t="s">
        <v>6</v>
      </c>
      <c r="C85" s="125" t="s">
        <v>7</v>
      </c>
    </row>
    <row r="86" spans="1:3" ht="28.2" hidden="1" outlineLevel="1">
      <c r="A86" s="42" t="s">
        <v>8</v>
      </c>
      <c r="B86" s="43" t="s">
        <v>206</v>
      </c>
      <c r="C86" s="28" t="s">
        <v>207</v>
      </c>
    </row>
    <row r="87" spans="1:3" ht="14.4" hidden="1" outlineLevel="1">
      <c r="A87" s="42" t="s">
        <v>11</v>
      </c>
      <c r="B87" s="28" t="s">
        <v>208</v>
      </c>
      <c r="C87" s="28" t="s">
        <v>209</v>
      </c>
    </row>
    <row r="88" spans="1:3" ht="14.4" hidden="1" outlineLevel="1">
      <c r="A88" s="42" t="s">
        <v>13</v>
      </c>
      <c r="B88" s="28" t="s">
        <v>35</v>
      </c>
      <c r="C88" s="28" t="s">
        <v>36</v>
      </c>
    </row>
    <row r="89" spans="1:3" ht="14.4" hidden="1" outlineLevel="1">
      <c r="A89" s="42" t="s">
        <v>14</v>
      </c>
      <c r="B89" s="28" t="s">
        <v>210</v>
      </c>
      <c r="C89" s="28" t="s">
        <v>211</v>
      </c>
    </row>
    <row r="90" spans="1:3" ht="14.4" hidden="1" outlineLevel="1">
      <c r="A90" s="42" t="s">
        <v>15</v>
      </c>
      <c r="B90" s="28" t="s">
        <v>212</v>
      </c>
      <c r="C90" s="28" t="s">
        <v>213</v>
      </c>
    </row>
    <row r="91" spans="1:3" ht="14.4" hidden="1" outlineLevel="1">
      <c r="A91" s="42" t="s">
        <v>18</v>
      </c>
      <c r="B91" s="28" t="s">
        <v>214</v>
      </c>
      <c r="C91" s="28" t="s">
        <v>213</v>
      </c>
    </row>
    <row r="92" spans="1:3" ht="27.6" hidden="1" outlineLevel="1">
      <c r="A92" s="42" t="s">
        <v>20</v>
      </c>
      <c r="B92" s="28" t="s">
        <v>215</v>
      </c>
      <c r="C92" s="28" t="s">
        <v>37</v>
      </c>
    </row>
    <row r="93" spans="1:3" ht="69" hidden="1" outlineLevel="1">
      <c r="A93" s="44" t="s">
        <v>22</v>
      </c>
      <c r="B93" s="28" t="s">
        <v>216</v>
      </c>
      <c r="C93" s="28" t="s">
        <v>217</v>
      </c>
    </row>
    <row r="94" spans="1:3" ht="27.6" hidden="1" outlineLevel="1">
      <c r="A94" s="44" t="s">
        <v>29</v>
      </c>
      <c r="B94" s="28" t="s">
        <v>218</v>
      </c>
      <c r="C94" s="45" t="s">
        <v>219</v>
      </c>
    </row>
    <row r="95" spans="1:3" ht="14.4" hidden="1" outlineLevel="1">
      <c r="A95" s="44" t="s">
        <v>32</v>
      </c>
      <c r="B95" s="28" t="s">
        <v>193</v>
      </c>
      <c r="C95" s="28" t="s">
        <v>38</v>
      </c>
    </row>
    <row r="96" spans="1:3" ht="14.4" hidden="1" outlineLevel="1">
      <c r="A96" s="44" t="s">
        <v>220</v>
      </c>
      <c r="B96" s="31" t="s">
        <v>221</v>
      </c>
      <c r="C96" s="28" t="s">
        <v>222</v>
      </c>
    </row>
    <row r="97" spans="1:26" ht="17.399999999999999" collapsed="1">
      <c r="A97" s="29" t="s">
        <v>223</v>
      </c>
      <c r="B97" s="29"/>
      <c r="C97" s="126"/>
    </row>
    <row r="98" spans="1:26" ht="14.4" hidden="1" outlineLevel="1">
      <c r="A98" s="23" t="s">
        <v>5</v>
      </c>
      <c r="B98" s="24" t="s">
        <v>6</v>
      </c>
      <c r="C98" s="125" t="s">
        <v>7</v>
      </c>
    </row>
    <row r="99" spans="1:26" ht="28.2" hidden="1" outlineLevel="1">
      <c r="A99" s="46" t="s">
        <v>8</v>
      </c>
      <c r="B99" s="43" t="s">
        <v>224</v>
      </c>
      <c r="C99" s="28" t="s">
        <v>207</v>
      </c>
    </row>
    <row r="100" spans="1:26" ht="27.6" hidden="1" outlineLevel="1">
      <c r="A100" s="46" t="s">
        <v>11</v>
      </c>
      <c r="B100" s="28" t="s">
        <v>225</v>
      </c>
      <c r="C100" s="28" t="s">
        <v>34</v>
      </c>
    </row>
    <row r="101" spans="1:26" ht="14.4" hidden="1" outlineLevel="1">
      <c r="A101" s="46" t="s">
        <v>13</v>
      </c>
      <c r="B101" s="28" t="s">
        <v>226</v>
      </c>
      <c r="C101" s="28" t="s">
        <v>227</v>
      </c>
    </row>
    <row r="102" spans="1:26" ht="14.4" hidden="1" outlineLevel="1">
      <c r="A102" s="46" t="s">
        <v>14</v>
      </c>
      <c r="B102" s="28" t="s">
        <v>193</v>
      </c>
      <c r="C102" s="28" t="s">
        <v>38</v>
      </c>
    </row>
    <row r="103" spans="1:26" ht="17.399999999999999" collapsed="1">
      <c r="A103" s="29" t="s">
        <v>228</v>
      </c>
      <c r="B103" s="29"/>
      <c r="C103" s="126"/>
    </row>
    <row r="104" spans="1:26" ht="14.4" hidden="1" outlineLevel="1">
      <c r="A104" s="23" t="s">
        <v>5</v>
      </c>
      <c r="B104" s="24" t="s">
        <v>6</v>
      </c>
      <c r="C104" s="125" t="s">
        <v>7</v>
      </c>
    </row>
    <row r="105" spans="1:26" ht="28.2" hidden="1" outlineLevel="1">
      <c r="A105" s="46" t="s">
        <v>8</v>
      </c>
      <c r="B105" s="43" t="s">
        <v>206</v>
      </c>
      <c r="C105" s="28" t="s">
        <v>207</v>
      </c>
    </row>
    <row r="106" spans="1:26" ht="14.4" hidden="1" outlineLevel="1">
      <c r="A106" s="46" t="s">
        <v>11</v>
      </c>
      <c r="B106" s="47" t="s">
        <v>208</v>
      </c>
      <c r="C106" s="28" t="s">
        <v>209</v>
      </c>
    </row>
    <row r="107" spans="1:26" ht="14.4" hidden="1" outlineLevel="1">
      <c r="A107" s="46" t="s">
        <v>13</v>
      </c>
      <c r="B107" s="28" t="s">
        <v>35</v>
      </c>
      <c r="C107" s="28" t="s">
        <v>36</v>
      </c>
    </row>
    <row r="108" spans="1:26" ht="14.4" hidden="1" outlineLevel="1">
      <c r="A108" s="46" t="s">
        <v>14</v>
      </c>
      <c r="B108" s="48" t="s">
        <v>229</v>
      </c>
      <c r="C108" s="28" t="s">
        <v>230</v>
      </c>
    </row>
    <row r="109" spans="1:26" ht="27.6" hidden="1" outlineLevel="1">
      <c r="A109" s="46" t="s">
        <v>15</v>
      </c>
      <c r="B109" s="28" t="s">
        <v>231</v>
      </c>
      <c r="C109" s="28" t="s">
        <v>232</v>
      </c>
    </row>
    <row r="110" spans="1:26" ht="69" hidden="1" outlineLevel="1">
      <c r="A110" s="46" t="s">
        <v>18</v>
      </c>
      <c r="B110" s="28" t="s">
        <v>216</v>
      </c>
      <c r="C110" s="28" t="s">
        <v>217</v>
      </c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27.6" hidden="1" outlineLevel="1">
      <c r="A111" s="46" t="s">
        <v>20</v>
      </c>
      <c r="B111" s="28" t="s">
        <v>218</v>
      </c>
      <c r="C111" s="45" t="s">
        <v>219</v>
      </c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4.4" hidden="1" outlineLevel="1">
      <c r="A112" s="46" t="s">
        <v>22</v>
      </c>
      <c r="B112" s="28" t="s">
        <v>193</v>
      </c>
      <c r="C112" s="28" t="s">
        <v>38</v>
      </c>
    </row>
    <row r="113" spans="1:26" ht="14.4" hidden="1" outlineLevel="1">
      <c r="A113" s="46" t="s">
        <v>29</v>
      </c>
      <c r="B113" s="31" t="s">
        <v>221</v>
      </c>
      <c r="C113" s="28" t="s">
        <v>222</v>
      </c>
    </row>
    <row r="114" spans="1:26" ht="17.399999999999999" collapsed="1">
      <c r="A114" s="29" t="s">
        <v>233</v>
      </c>
      <c r="B114" s="29"/>
      <c r="C114" s="126"/>
    </row>
    <row r="115" spans="1:26" ht="14.4" hidden="1" outlineLevel="1">
      <c r="A115" s="23" t="s">
        <v>5</v>
      </c>
      <c r="B115" s="24" t="s">
        <v>6</v>
      </c>
      <c r="C115" s="125" t="s">
        <v>7</v>
      </c>
    </row>
    <row r="116" spans="1:26" ht="28.2" hidden="1" outlineLevel="1">
      <c r="A116" s="46" t="s">
        <v>8</v>
      </c>
      <c r="B116" s="43" t="s">
        <v>224</v>
      </c>
      <c r="C116" s="28" t="s">
        <v>207</v>
      </c>
    </row>
    <row r="117" spans="1:26" ht="27.6" hidden="1" outlineLevel="1">
      <c r="A117" s="50" t="s">
        <v>11</v>
      </c>
      <c r="B117" s="47" t="s">
        <v>234</v>
      </c>
      <c r="C117" s="28" t="s">
        <v>34</v>
      </c>
    </row>
    <row r="118" spans="1:26" ht="14.4" hidden="1" outlineLevel="1">
      <c r="A118" s="46" t="s">
        <v>13</v>
      </c>
      <c r="B118" s="51" t="s">
        <v>226</v>
      </c>
      <c r="C118" s="51" t="s">
        <v>227</v>
      </c>
    </row>
    <row r="119" spans="1:26" ht="14.4" hidden="1" outlineLevel="1">
      <c r="A119" s="46" t="s">
        <v>14</v>
      </c>
      <c r="B119" s="28" t="s">
        <v>193</v>
      </c>
      <c r="C119" s="28" t="s">
        <v>38</v>
      </c>
    </row>
    <row r="120" spans="1:26" ht="17.399999999999999" collapsed="1">
      <c r="A120" s="29" t="s">
        <v>235</v>
      </c>
      <c r="B120" s="29"/>
      <c r="C120" s="126"/>
    </row>
    <row r="121" spans="1:26" ht="14.4" hidden="1" outlineLevel="1">
      <c r="A121" s="23" t="s">
        <v>5</v>
      </c>
      <c r="B121" s="24" t="s">
        <v>6</v>
      </c>
      <c r="C121" s="125" t="s">
        <v>7</v>
      </c>
    </row>
    <row r="122" spans="1:26" ht="28.2" hidden="1" outlineLevel="1">
      <c r="A122" s="46" t="s">
        <v>8</v>
      </c>
      <c r="B122" s="43" t="s">
        <v>206</v>
      </c>
      <c r="C122" s="28" t="s">
        <v>207</v>
      </c>
    </row>
    <row r="123" spans="1:26" ht="14.4" hidden="1" outlineLevel="1">
      <c r="A123" s="46" t="s">
        <v>11</v>
      </c>
      <c r="B123" s="28" t="s">
        <v>208</v>
      </c>
      <c r="C123" s="28" t="s">
        <v>209</v>
      </c>
    </row>
    <row r="124" spans="1:26" ht="14.4" hidden="1" outlineLevel="1">
      <c r="A124" s="46" t="s">
        <v>13</v>
      </c>
      <c r="B124" s="28" t="s">
        <v>35</v>
      </c>
      <c r="C124" s="28" t="s">
        <v>36</v>
      </c>
    </row>
    <row r="125" spans="1:26" ht="14.4" hidden="1" outlineLevel="1">
      <c r="A125" s="46" t="s">
        <v>14</v>
      </c>
      <c r="B125" s="28" t="s">
        <v>214</v>
      </c>
      <c r="C125" s="28" t="s">
        <v>213</v>
      </c>
    </row>
    <row r="126" spans="1:26" ht="41.4" hidden="1" outlineLevel="1">
      <c r="A126" s="46" t="s">
        <v>15</v>
      </c>
      <c r="B126" s="28" t="s">
        <v>236</v>
      </c>
      <c r="C126" s="28" t="s">
        <v>237</v>
      </c>
    </row>
    <row r="127" spans="1:26" ht="69" hidden="1" outlineLevel="1">
      <c r="A127" s="46" t="s">
        <v>18</v>
      </c>
      <c r="B127" s="28" t="s">
        <v>216</v>
      </c>
      <c r="C127" s="28" t="s">
        <v>217</v>
      </c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27.6" hidden="1" outlineLevel="1">
      <c r="A128" s="46" t="s">
        <v>20</v>
      </c>
      <c r="B128" s="28" t="s">
        <v>218</v>
      </c>
      <c r="C128" s="45" t="s">
        <v>219</v>
      </c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3" ht="14.4" hidden="1" outlineLevel="1">
      <c r="A129" s="46" t="s">
        <v>22</v>
      </c>
      <c r="B129" s="28" t="s">
        <v>193</v>
      </c>
      <c r="C129" s="28" t="s">
        <v>38</v>
      </c>
    </row>
    <row r="130" spans="1:3" ht="14.4" hidden="1" outlineLevel="1">
      <c r="A130" s="46" t="s">
        <v>29</v>
      </c>
      <c r="B130" s="31" t="s">
        <v>221</v>
      </c>
      <c r="C130" s="28" t="s">
        <v>222</v>
      </c>
    </row>
    <row r="131" spans="1:3" ht="17.399999999999999" collapsed="1">
      <c r="A131" s="29" t="s">
        <v>238</v>
      </c>
      <c r="B131" s="29"/>
      <c r="C131" s="126"/>
    </row>
    <row r="132" spans="1:3" ht="14.4" hidden="1" outlineLevel="1">
      <c r="A132" s="52" t="s">
        <v>5</v>
      </c>
      <c r="B132" s="24" t="s">
        <v>6</v>
      </c>
      <c r="C132" s="53" t="s">
        <v>7</v>
      </c>
    </row>
    <row r="133" spans="1:3" ht="28.2" hidden="1" outlineLevel="1">
      <c r="A133" s="44" t="s">
        <v>8</v>
      </c>
      <c r="B133" s="54" t="s">
        <v>224</v>
      </c>
      <c r="C133" s="28" t="s">
        <v>207</v>
      </c>
    </row>
    <row r="134" spans="1:3" ht="41.4" hidden="1" outlineLevel="1">
      <c r="A134" s="55" t="s">
        <v>11</v>
      </c>
      <c r="B134" s="56" t="s">
        <v>239</v>
      </c>
      <c r="C134" s="57" t="s">
        <v>34</v>
      </c>
    </row>
    <row r="135" spans="1:3" ht="14.4" hidden="1" outlineLevel="1">
      <c r="A135" s="44" t="s">
        <v>13</v>
      </c>
      <c r="B135" s="51" t="s">
        <v>226</v>
      </c>
      <c r="C135" s="51" t="s">
        <v>227</v>
      </c>
    </row>
    <row r="136" spans="1:3" ht="14.4" hidden="1" outlineLevel="1">
      <c r="A136" s="44" t="s">
        <v>14</v>
      </c>
      <c r="B136" s="28" t="s">
        <v>193</v>
      </c>
      <c r="C136" s="28" t="s">
        <v>38</v>
      </c>
    </row>
    <row r="137" spans="1:3" ht="17.399999999999999" collapsed="1">
      <c r="A137" s="29" t="s">
        <v>240</v>
      </c>
      <c r="B137" s="58"/>
      <c r="C137" s="59"/>
    </row>
    <row r="138" spans="1:3" ht="14.4" hidden="1" outlineLevel="1">
      <c r="A138" s="52" t="s">
        <v>5</v>
      </c>
      <c r="B138" s="24" t="s">
        <v>6</v>
      </c>
      <c r="C138" s="53" t="s">
        <v>7</v>
      </c>
    </row>
    <row r="139" spans="1:3" ht="28.2" hidden="1" outlineLevel="1">
      <c r="A139" s="44" t="s">
        <v>8</v>
      </c>
      <c r="B139" s="54" t="s">
        <v>206</v>
      </c>
      <c r="C139" s="28" t="s">
        <v>207</v>
      </c>
    </row>
    <row r="140" spans="1:3" ht="14.4" hidden="1" outlineLevel="1">
      <c r="A140" s="44" t="s">
        <v>11</v>
      </c>
      <c r="B140" s="56" t="s">
        <v>241</v>
      </c>
      <c r="C140" s="28" t="s">
        <v>209</v>
      </c>
    </row>
    <row r="141" spans="1:3" ht="14.4" hidden="1" outlineLevel="1">
      <c r="A141" s="44" t="s">
        <v>13</v>
      </c>
      <c r="B141" s="57" t="s">
        <v>35</v>
      </c>
      <c r="C141" s="57" t="s">
        <v>36</v>
      </c>
    </row>
    <row r="142" spans="1:3" ht="14.4" hidden="1" outlineLevel="1">
      <c r="A142" s="44" t="s">
        <v>14</v>
      </c>
      <c r="B142" s="28" t="s">
        <v>210</v>
      </c>
      <c r="C142" s="28" t="s">
        <v>211</v>
      </c>
    </row>
    <row r="143" spans="1:3" ht="14.4" hidden="1" outlineLevel="1">
      <c r="A143" s="44" t="s">
        <v>15</v>
      </c>
      <c r="B143" s="28" t="s">
        <v>212</v>
      </c>
      <c r="C143" s="28" t="s">
        <v>213</v>
      </c>
    </row>
    <row r="144" spans="1:3" ht="14.4" hidden="1" outlineLevel="1">
      <c r="A144" s="44" t="s">
        <v>18</v>
      </c>
      <c r="B144" s="48" t="s">
        <v>214</v>
      </c>
      <c r="C144" s="28" t="s">
        <v>242</v>
      </c>
    </row>
    <row r="145" spans="1:26" ht="27.6" hidden="1" outlineLevel="1">
      <c r="A145" s="44" t="s">
        <v>20</v>
      </c>
      <c r="B145" s="57" t="s">
        <v>243</v>
      </c>
      <c r="C145" s="28" t="s">
        <v>244</v>
      </c>
    </row>
    <row r="146" spans="1:26" ht="14.4" hidden="1" outlineLevel="1">
      <c r="A146" s="44" t="s">
        <v>22</v>
      </c>
      <c r="B146" s="28" t="s">
        <v>245</v>
      </c>
      <c r="C146" s="28" t="s">
        <v>246</v>
      </c>
    </row>
    <row r="147" spans="1:26" ht="69" hidden="1" outlineLevel="1">
      <c r="A147" s="44" t="s">
        <v>29</v>
      </c>
      <c r="B147" s="28" t="s">
        <v>216</v>
      </c>
      <c r="C147" s="28" t="s">
        <v>217</v>
      </c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1.80000000000001" hidden="1" outlineLevel="1">
      <c r="A148" s="44" t="s">
        <v>32</v>
      </c>
      <c r="B148" s="60" t="s">
        <v>247</v>
      </c>
      <c r="C148" s="28" t="s">
        <v>248</v>
      </c>
    </row>
    <row r="149" spans="1:26" ht="27.6" hidden="1" outlineLevel="1">
      <c r="A149" s="44" t="s">
        <v>220</v>
      </c>
      <c r="B149" s="28" t="s">
        <v>218</v>
      </c>
      <c r="C149" s="45" t="s">
        <v>219</v>
      </c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4.4" hidden="1" outlineLevel="1">
      <c r="A150" s="44" t="s">
        <v>249</v>
      </c>
      <c r="B150" s="28" t="s">
        <v>193</v>
      </c>
      <c r="C150" s="28" t="s">
        <v>38</v>
      </c>
    </row>
    <row r="151" spans="1:26" ht="14.4" hidden="1" outlineLevel="1">
      <c r="A151" s="44" t="s">
        <v>250</v>
      </c>
      <c r="B151" s="31" t="s">
        <v>221</v>
      </c>
      <c r="C151" s="28" t="s">
        <v>222</v>
      </c>
    </row>
    <row r="152" spans="1:26" ht="17.399999999999999" collapsed="1">
      <c r="A152" s="29" t="s">
        <v>251</v>
      </c>
      <c r="B152" s="58"/>
      <c r="C152" s="59"/>
    </row>
    <row r="153" spans="1:26" ht="14.4" hidden="1" outlineLevel="1">
      <c r="A153" s="52" t="s">
        <v>5</v>
      </c>
      <c r="B153" s="24" t="s">
        <v>6</v>
      </c>
      <c r="C153" s="53" t="s">
        <v>7</v>
      </c>
    </row>
    <row r="154" spans="1:26" ht="28.2" hidden="1" outlineLevel="1">
      <c r="A154" s="44" t="s">
        <v>8</v>
      </c>
      <c r="B154" s="54" t="s">
        <v>224</v>
      </c>
      <c r="C154" s="28" t="s">
        <v>207</v>
      </c>
    </row>
    <row r="155" spans="1:26" ht="41.4" hidden="1" outlineLevel="1">
      <c r="A155" s="55" t="s">
        <v>11</v>
      </c>
      <c r="B155" s="56" t="s">
        <v>252</v>
      </c>
      <c r="C155" s="57" t="s">
        <v>34</v>
      </c>
    </row>
    <row r="156" spans="1:26" ht="14.4" hidden="1" outlineLevel="1">
      <c r="A156" s="44" t="s">
        <v>13</v>
      </c>
      <c r="B156" s="51" t="s">
        <v>226</v>
      </c>
      <c r="C156" s="51" t="s">
        <v>227</v>
      </c>
    </row>
    <row r="157" spans="1:26" ht="14.4" hidden="1" outlineLevel="1">
      <c r="A157" s="44" t="s">
        <v>14</v>
      </c>
      <c r="B157" s="28" t="s">
        <v>193</v>
      </c>
      <c r="C157" s="28" t="s">
        <v>38</v>
      </c>
    </row>
    <row r="158" spans="1:26" ht="17.399999999999999" collapsed="1">
      <c r="A158" s="29" t="s">
        <v>253</v>
      </c>
      <c r="B158" s="58"/>
      <c r="C158" s="59"/>
    </row>
    <row r="159" spans="1:26" ht="14.4" hidden="1" outlineLevel="2">
      <c r="A159" s="52" t="s">
        <v>5</v>
      </c>
      <c r="B159" s="24" t="s">
        <v>6</v>
      </c>
      <c r="C159" s="53" t="s">
        <v>7</v>
      </c>
    </row>
    <row r="160" spans="1:26" ht="28.2" hidden="1" outlineLevel="2">
      <c r="A160" s="44" t="s">
        <v>8</v>
      </c>
      <c r="B160" s="54" t="s">
        <v>206</v>
      </c>
      <c r="C160" s="28" t="s">
        <v>207</v>
      </c>
    </row>
    <row r="161" spans="1:26" ht="14.4" hidden="1" outlineLevel="2">
      <c r="A161" s="44" t="s">
        <v>11</v>
      </c>
      <c r="B161" s="56" t="s">
        <v>241</v>
      </c>
      <c r="C161" s="28" t="s">
        <v>209</v>
      </c>
    </row>
    <row r="162" spans="1:26" ht="14.4" hidden="1" outlineLevel="2">
      <c r="A162" s="44" t="s">
        <v>13</v>
      </c>
      <c r="B162" s="57" t="s">
        <v>35</v>
      </c>
      <c r="C162" s="57" t="s">
        <v>36</v>
      </c>
    </row>
    <row r="163" spans="1:26" ht="14.4" hidden="1" outlineLevel="2">
      <c r="A163" s="44" t="s">
        <v>14</v>
      </c>
      <c r="B163" s="28" t="s">
        <v>210</v>
      </c>
      <c r="C163" s="28" t="s">
        <v>211</v>
      </c>
    </row>
    <row r="164" spans="1:26" ht="14.4" hidden="1" outlineLevel="2">
      <c r="A164" s="44" t="s">
        <v>15</v>
      </c>
      <c r="B164" s="28" t="s">
        <v>212</v>
      </c>
      <c r="C164" s="28" t="s">
        <v>213</v>
      </c>
    </row>
    <row r="165" spans="1:26" ht="14.4" hidden="1" outlineLevel="2">
      <c r="A165" s="44" t="s">
        <v>18</v>
      </c>
      <c r="B165" s="48" t="s">
        <v>214</v>
      </c>
      <c r="C165" s="28" t="s">
        <v>242</v>
      </c>
    </row>
    <row r="166" spans="1:26" ht="27.6" hidden="1" outlineLevel="2">
      <c r="A166" s="44" t="s">
        <v>20</v>
      </c>
      <c r="B166" s="57" t="s">
        <v>243</v>
      </c>
      <c r="C166" s="28" t="s">
        <v>244</v>
      </c>
    </row>
    <row r="167" spans="1:26" ht="69" hidden="1" outlineLevel="2">
      <c r="A167" s="46" t="s">
        <v>18</v>
      </c>
      <c r="B167" s="28" t="s">
        <v>216</v>
      </c>
      <c r="C167" s="28" t="s">
        <v>217</v>
      </c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4.4" hidden="1" outlineLevel="2">
      <c r="A168" s="44" t="s">
        <v>22</v>
      </c>
      <c r="B168" s="28" t="s">
        <v>245</v>
      </c>
      <c r="C168" s="28" t="s">
        <v>246</v>
      </c>
    </row>
    <row r="169" spans="1:26" ht="96.6" hidden="1" outlineLevel="2">
      <c r="A169" s="44" t="s">
        <v>29</v>
      </c>
      <c r="B169" s="60" t="s">
        <v>247</v>
      </c>
      <c r="C169" s="28" t="s">
        <v>254</v>
      </c>
    </row>
    <row r="170" spans="1:26" ht="96.6" hidden="1" outlineLevel="2">
      <c r="A170" s="44" t="s">
        <v>32</v>
      </c>
      <c r="B170" s="28" t="s">
        <v>255</v>
      </c>
      <c r="C170" s="28" t="s">
        <v>256</v>
      </c>
    </row>
    <row r="171" spans="1:26" ht="138" hidden="1" outlineLevel="2">
      <c r="A171" s="44" t="s">
        <v>220</v>
      </c>
      <c r="B171" s="60" t="s">
        <v>257</v>
      </c>
      <c r="C171" s="28" t="s">
        <v>258</v>
      </c>
    </row>
    <row r="172" spans="1:26" ht="69" hidden="1" outlineLevel="2">
      <c r="A172" s="44" t="s">
        <v>249</v>
      </c>
      <c r="B172" s="28" t="s">
        <v>216</v>
      </c>
      <c r="C172" s="28" t="s">
        <v>217</v>
      </c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27.6" hidden="1" outlineLevel="2">
      <c r="A173" s="44" t="s">
        <v>250</v>
      </c>
      <c r="B173" s="28" t="s">
        <v>218</v>
      </c>
      <c r="C173" s="45" t="s">
        <v>219</v>
      </c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4.4" hidden="1" outlineLevel="2">
      <c r="A174" s="44" t="s">
        <v>259</v>
      </c>
      <c r="B174" s="28" t="s">
        <v>193</v>
      </c>
      <c r="C174" s="28" t="s">
        <v>38</v>
      </c>
    </row>
    <row r="175" spans="1:26" ht="14.4" hidden="1" outlineLevel="2">
      <c r="A175" s="44" t="s">
        <v>260</v>
      </c>
      <c r="B175" s="31" t="s">
        <v>221</v>
      </c>
      <c r="C175" s="28" t="s">
        <v>222</v>
      </c>
    </row>
    <row r="176" spans="1:26" ht="17.399999999999999" collapsed="1">
      <c r="A176" s="29" t="s">
        <v>261</v>
      </c>
      <c r="B176" s="58"/>
      <c r="C176" s="59"/>
    </row>
    <row r="177" spans="1:26" ht="14.4" hidden="1" outlineLevel="1">
      <c r="A177" s="52" t="s">
        <v>5</v>
      </c>
      <c r="B177" s="24" t="s">
        <v>6</v>
      </c>
      <c r="C177" s="53" t="s">
        <v>7</v>
      </c>
    </row>
    <row r="178" spans="1:26" ht="28.2" hidden="1" outlineLevel="1">
      <c r="A178" s="44" t="s">
        <v>8</v>
      </c>
      <c r="B178" s="54" t="s">
        <v>224</v>
      </c>
      <c r="C178" s="28" t="s">
        <v>207</v>
      </c>
    </row>
    <row r="179" spans="1:26" ht="41.4" hidden="1" outlineLevel="1">
      <c r="A179" s="55" t="s">
        <v>11</v>
      </c>
      <c r="B179" s="56" t="s">
        <v>262</v>
      </c>
      <c r="C179" s="57" t="s">
        <v>34</v>
      </c>
    </row>
    <row r="180" spans="1:26" ht="14.4" hidden="1" outlineLevel="1">
      <c r="A180" s="44" t="s">
        <v>13</v>
      </c>
      <c r="B180" s="51" t="s">
        <v>226</v>
      </c>
      <c r="C180" s="51" t="s">
        <v>227</v>
      </c>
    </row>
    <row r="181" spans="1:26" ht="14.4" hidden="1" outlineLevel="1">
      <c r="A181" s="44" t="s">
        <v>14</v>
      </c>
      <c r="B181" s="28" t="s">
        <v>263</v>
      </c>
      <c r="C181" s="28" t="s">
        <v>38</v>
      </c>
    </row>
    <row r="182" spans="1:26" ht="17.399999999999999" collapsed="1">
      <c r="A182" s="29" t="s">
        <v>264</v>
      </c>
      <c r="B182" s="58"/>
      <c r="C182" s="59"/>
    </row>
    <row r="183" spans="1:26" ht="14.4" hidden="1" outlineLevel="1">
      <c r="A183" s="52" t="s">
        <v>5</v>
      </c>
      <c r="B183" s="24" t="s">
        <v>6</v>
      </c>
      <c r="C183" s="53" t="s">
        <v>7</v>
      </c>
    </row>
    <row r="184" spans="1:26" ht="28.2" hidden="1" outlineLevel="1">
      <c r="A184" s="42" t="s">
        <v>8</v>
      </c>
      <c r="B184" s="61" t="s">
        <v>206</v>
      </c>
      <c r="C184" s="62" t="s">
        <v>207</v>
      </c>
    </row>
    <row r="185" spans="1:26" ht="14.4" hidden="1" outlineLevel="1">
      <c r="A185" s="42" t="s">
        <v>11</v>
      </c>
      <c r="B185" s="63" t="s">
        <v>241</v>
      </c>
      <c r="C185" s="62" t="s">
        <v>209</v>
      </c>
    </row>
    <row r="186" spans="1:26" ht="14.4" hidden="1" outlineLevel="1">
      <c r="A186" s="42" t="s">
        <v>13</v>
      </c>
      <c r="B186" s="64" t="s">
        <v>35</v>
      </c>
      <c r="C186" s="64" t="s">
        <v>36</v>
      </c>
    </row>
    <row r="187" spans="1:26" ht="14.4" hidden="1" outlineLevel="1">
      <c r="A187" s="42" t="s">
        <v>14</v>
      </c>
      <c r="B187" s="65" t="s">
        <v>210</v>
      </c>
      <c r="C187" s="65" t="s">
        <v>211</v>
      </c>
    </row>
    <row r="188" spans="1:26" ht="14.4" hidden="1" outlineLevel="1">
      <c r="A188" s="42" t="s">
        <v>15</v>
      </c>
      <c r="B188" s="65" t="s">
        <v>212</v>
      </c>
      <c r="C188" s="65" t="s">
        <v>213</v>
      </c>
    </row>
    <row r="189" spans="1:26" ht="14.4" hidden="1" outlineLevel="1">
      <c r="A189" s="42" t="s">
        <v>18</v>
      </c>
      <c r="B189" s="66" t="s">
        <v>265</v>
      </c>
      <c r="C189" s="65" t="s">
        <v>242</v>
      </c>
    </row>
    <row r="190" spans="1:26" ht="69" hidden="1" outlineLevel="1">
      <c r="A190" s="42" t="s">
        <v>20</v>
      </c>
      <c r="B190" s="64" t="s">
        <v>266</v>
      </c>
      <c r="C190" s="65" t="s">
        <v>267</v>
      </c>
    </row>
    <row r="191" spans="1:26" ht="69" hidden="1" outlineLevel="1">
      <c r="A191" s="42" t="s">
        <v>22</v>
      </c>
      <c r="B191" s="28" t="s">
        <v>216</v>
      </c>
      <c r="C191" s="28" t="s">
        <v>217</v>
      </c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27.6" hidden="1" outlineLevel="1">
      <c r="A192" s="42" t="s">
        <v>29</v>
      </c>
      <c r="B192" s="28" t="s">
        <v>218</v>
      </c>
      <c r="C192" s="45" t="s">
        <v>219</v>
      </c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3" ht="14.4" hidden="1" outlineLevel="1">
      <c r="A193" s="42" t="s">
        <v>32</v>
      </c>
      <c r="B193" s="62" t="s">
        <v>193</v>
      </c>
      <c r="C193" s="62" t="s">
        <v>38</v>
      </c>
    </row>
    <row r="194" spans="1:3" ht="14.4" hidden="1" outlineLevel="1">
      <c r="A194" s="42" t="s">
        <v>220</v>
      </c>
      <c r="B194" s="31" t="s">
        <v>221</v>
      </c>
      <c r="C194" s="28" t="s">
        <v>222</v>
      </c>
    </row>
    <row r="195" spans="1:3" ht="17.399999999999999" collapsed="1">
      <c r="A195" s="29" t="s">
        <v>268</v>
      </c>
      <c r="B195" s="58"/>
      <c r="C195" s="59"/>
    </row>
    <row r="196" spans="1:3" ht="14.4" hidden="1" outlineLevel="1">
      <c r="A196" s="52" t="s">
        <v>5</v>
      </c>
      <c r="B196" s="24" t="s">
        <v>6</v>
      </c>
      <c r="C196" s="53" t="s">
        <v>7</v>
      </c>
    </row>
    <row r="197" spans="1:3" ht="28.2" hidden="1" outlineLevel="1">
      <c r="A197" s="44" t="s">
        <v>8</v>
      </c>
      <c r="B197" s="54" t="s">
        <v>224</v>
      </c>
      <c r="C197" s="28" t="s">
        <v>207</v>
      </c>
    </row>
    <row r="198" spans="1:3" ht="27.6" hidden="1" outlineLevel="1">
      <c r="A198" s="55" t="s">
        <v>11</v>
      </c>
      <c r="B198" s="56" t="s">
        <v>269</v>
      </c>
      <c r="C198" s="57" t="s">
        <v>34</v>
      </c>
    </row>
    <row r="199" spans="1:3" ht="14.4" hidden="1" outlineLevel="1">
      <c r="A199" s="44" t="s">
        <v>13</v>
      </c>
      <c r="B199" s="51" t="s">
        <v>226</v>
      </c>
      <c r="C199" s="51" t="s">
        <v>227</v>
      </c>
    </row>
    <row r="200" spans="1:3" ht="14.4" hidden="1" outlineLevel="1">
      <c r="A200" s="44" t="s">
        <v>14</v>
      </c>
      <c r="B200" s="28" t="s">
        <v>193</v>
      </c>
      <c r="C200" s="28" t="s">
        <v>38</v>
      </c>
    </row>
    <row r="201" spans="1:3" ht="17.399999999999999" collapsed="1">
      <c r="A201" s="29" t="s">
        <v>270</v>
      </c>
      <c r="B201" s="58"/>
      <c r="C201" s="59"/>
    </row>
    <row r="202" spans="1:3" ht="14.4" hidden="1" outlineLevel="1">
      <c r="A202" s="52" t="s">
        <v>5</v>
      </c>
      <c r="B202" s="24" t="s">
        <v>6</v>
      </c>
      <c r="C202" s="53" t="s">
        <v>7</v>
      </c>
    </row>
    <row r="203" spans="1:3" ht="28.2" hidden="1" outlineLevel="1">
      <c r="A203" s="44" t="s">
        <v>8</v>
      </c>
      <c r="B203" s="54" t="s">
        <v>206</v>
      </c>
      <c r="C203" s="28" t="s">
        <v>207</v>
      </c>
    </row>
    <row r="204" spans="1:3" ht="14.4" hidden="1" outlineLevel="1">
      <c r="A204" s="44" t="s">
        <v>11</v>
      </c>
      <c r="B204" s="56" t="s">
        <v>241</v>
      </c>
      <c r="C204" s="28" t="s">
        <v>209</v>
      </c>
    </row>
    <row r="205" spans="1:3" ht="14.4" hidden="1" outlineLevel="1">
      <c r="A205" s="44" t="s">
        <v>13</v>
      </c>
      <c r="B205" s="57" t="s">
        <v>35</v>
      </c>
      <c r="C205" s="57" t="s">
        <v>36</v>
      </c>
    </row>
    <row r="206" spans="1:3" ht="14.4" hidden="1" outlineLevel="1">
      <c r="A206" s="44" t="s">
        <v>14</v>
      </c>
      <c r="B206" s="28" t="s">
        <v>210</v>
      </c>
      <c r="C206" s="28" t="s">
        <v>211</v>
      </c>
    </row>
    <row r="207" spans="1:3" ht="14.4" hidden="1" outlineLevel="1">
      <c r="A207" s="44" t="s">
        <v>15</v>
      </c>
      <c r="B207" s="28" t="s">
        <v>212</v>
      </c>
      <c r="C207" s="28" t="s">
        <v>213</v>
      </c>
    </row>
    <row r="208" spans="1:3" ht="14.4" hidden="1" outlineLevel="1">
      <c r="A208" s="44" t="s">
        <v>18</v>
      </c>
      <c r="B208" s="48" t="s">
        <v>265</v>
      </c>
      <c r="C208" s="28" t="s">
        <v>242</v>
      </c>
    </row>
    <row r="209" spans="1:26" ht="69" hidden="1" outlineLevel="1">
      <c r="A209" s="44" t="s">
        <v>20</v>
      </c>
      <c r="B209" s="57" t="s">
        <v>271</v>
      </c>
      <c r="C209" s="28" t="s">
        <v>267</v>
      </c>
    </row>
    <row r="210" spans="1:26" ht="14.4" hidden="1" outlineLevel="1">
      <c r="A210" s="44" t="s">
        <v>22</v>
      </c>
      <c r="B210" s="28" t="s">
        <v>245</v>
      </c>
      <c r="C210" s="28" t="s">
        <v>246</v>
      </c>
    </row>
    <row r="211" spans="1:26" ht="151.80000000000001" hidden="1" outlineLevel="1">
      <c r="A211" s="44" t="s">
        <v>29</v>
      </c>
      <c r="B211" s="60" t="s">
        <v>247</v>
      </c>
      <c r="C211" s="28" t="s">
        <v>248</v>
      </c>
    </row>
    <row r="212" spans="1:26" ht="69" hidden="1" outlineLevel="1">
      <c r="A212" s="44" t="s">
        <v>32</v>
      </c>
      <c r="B212" s="28" t="s">
        <v>216</v>
      </c>
      <c r="C212" s="28" t="s">
        <v>217</v>
      </c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27.6" hidden="1" outlineLevel="1">
      <c r="A213" s="44" t="s">
        <v>220</v>
      </c>
      <c r="B213" s="28" t="s">
        <v>218</v>
      </c>
      <c r="C213" s="45" t="s">
        <v>219</v>
      </c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4.4" hidden="1" outlineLevel="1">
      <c r="A214" s="44" t="s">
        <v>249</v>
      </c>
      <c r="B214" s="28" t="s">
        <v>193</v>
      </c>
      <c r="C214" s="28" t="s">
        <v>38</v>
      </c>
    </row>
    <row r="215" spans="1:26" ht="14.4" hidden="1" outlineLevel="1">
      <c r="A215" s="44" t="s">
        <v>250</v>
      </c>
      <c r="B215" s="31" t="s">
        <v>221</v>
      </c>
      <c r="C215" s="28" t="s">
        <v>222</v>
      </c>
    </row>
    <row r="216" spans="1:26" ht="17.399999999999999" collapsed="1">
      <c r="A216" s="29" t="s">
        <v>272</v>
      </c>
      <c r="B216" s="58"/>
      <c r="C216" s="59"/>
    </row>
    <row r="217" spans="1:26" ht="14.4" hidden="1" outlineLevel="1">
      <c r="A217" s="52" t="s">
        <v>5</v>
      </c>
      <c r="B217" s="24" t="s">
        <v>6</v>
      </c>
      <c r="C217" s="53" t="s">
        <v>7</v>
      </c>
    </row>
    <row r="218" spans="1:26" ht="28.2" hidden="1" outlineLevel="1">
      <c r="A218" s="44" t="s">
        <v>8</v>
      </c>
      <c r="B218" s="54" t="s">
        <v>224</v>
      </c>
      <c r="C218" s="28" t="s">
        <v>207</v>
      </c>
    </row>
    <row r="219" spans="1:26" ht="41.4" hidden="1" outlineLevel="1">
      <c r="A219" s="55" t="s">
        <v>11</v>
      </c>
      <c r="B219" s="56" t="s">
        <v>273</v>
      </c>
      <c r="C219" s="57" t="s">
        <v>34</v>
      </c>
    </row>
    <row r="220" spans="1:26" ht="14.4" hidden="1" outlineLevel="1">
      <c r="A220" s="44" t="s">
        <v>13</v>
      </c>
      <c r="B220" s="51" t="s">
        <v>226</v>
      </c>
      <c r="C220" s="51" t="s">
        <v>227</v>
      </c>
    </row>
    <row r="221" spans="1:26" ht="14.4" hidden="1" outlineLevel="1">
      <c r="A221" s="44" t="s">
        <v>14</v>
      </c>
      <c r="B221" s="28" t="s">
        <v>193</v>
      </c>
      <c r="C221" s="28" t="s">
        <v>38</v>
      </c>
    </row>
    <row r="222" spans="1:26" ht="17.399999999999999" collapsed="1">
      <c r="A222" s="29" t="s">
        <v>274</v>
      </c>
      <c r="B222" s="58"/>
      <c r="C222" s="59"/>
    </row>
    <row r="223" spans="1:26" ht="14.4" hidden="1" outlineLevel="1">
      <c r="A223" s="52" t="s">
        <v>5</v>
      </c>
      <c r="B223" s="24" t="s">
        <v>6</v>
      </c>
      <c r="C223" s="53" t="s">
        <v>7</v>
      </c>
    </row>
    <row r="224" spans="1:26" ht="28.2" hidden="1" outlineLevel="1">
      <c r="A224" s="44" t="s">
        <v>8</v>
      </c>
      <c r="B224" s="54" t="s">
        <v>206</v>
      </c>
      <c r="C224" s="28" t="s">
        <v>207</v>
      </c>
    </row>
    <row r="225" spans="1:26" ht="14.4" hidden="1" outlineLevel="1">
      <c r="A225" s="44" t="s">
        <v>11</v>
      </c>
      <c r="B225" s="56" t="s">
        <v>241</v>
      </c>
      <c r="C225" s="28" t="s">
        <v>209</v>
      </c>
    </row>
    <row r="226" spans="1:26" ht="14.4" hidden="1" outlineLevel="1">
      <c r="A226" s="44" t="s">
        <v>13</v>
      </c>
      <c r="B226" s="57" t="s">
        <v>35</v>
      </c>
      <c r="C226" s="57" t="s">
        <v>36</v>
      </c>
    </row>
    <row r="227" spans="1:26" ht="14.4" hidden="1" outlineLevel="1">
      <c r="A227" s="44" t="s">
        <v>14</v>
      </c>
      <c r="B227" s="28" t="s">
        <v>210</v>
      </c>
      <c r="C227" s="28" t="s">
        <v>211</v>
      </c>
    </row>
    <row r="228" spans="1:26" ht="14.4" hidden="1" outlineLevel="1">
      <c r="A228" s="44" t="s">
        <v>15</v>
      </c>
      <c r="B228" s="28" t="s">
        <v>212</v>
      </c>
      <c r="C228" s="28" t="s">
        <v>213</v>
      </c>
    </row>
    <row r="229" spans="1:26" ht="14.4" hidden="1" outlineLevel="1">
      <c r="A229" s="44" t="s">
        <v>18</v>
      </c>
      <c r="B229" s="48" t="s">
        <v>265</v>
      </c>
      <c r="C229" s="28" t="s">
        <v>242</v>
      </c>
    </row>
    <row r="230" spans="1:26" ht="14.4" hidden="1" outlineLevel="1">
      <c r="A230" s="44" t="s">
        <v>20</v>
      </c>
      <c r="B230" s="57" t="s">
        <v>271</v>
      </c>
      <c r="C230" s="28" t="s">
        <v>244</v>
      </c>
    </row>
    <row r="231" spans="1:26" ht="14.4" hidden="1" outlineLevel="1">
      <c r="A231" s="44" t="s">
        <v>22</v>
      </c>
      <c r="B231" s="28" t="s">
        <v>245</v>
      </c>
      <c r="C231" s="28" t="s">
        <v>246</v>
      </c>
    </row>
    <row r="232" spans="1:26" ht="96.6" hidden="1" outlineLevel="1">
      <c r="A232" s="44" t="s">
        <v>29</v>
      </c>
      <c r="B232" s="60" t="s">
        <v>247</v>
      </c>
      <c r="C232" s="28" t="s">
        <v>254</v>
      </c>
    </row>
    <row r="233" spans="1:26" ht="96.6" hidden="1" outlineLevel="1">
      <c r="A233" s="44" t="s">
        <v>32</v>
      </c>
      <c r="B233" s="28" t="s">
        <v>255</v>
      </c>
      <c r="C233" s="28" t="s">
        <v>256</v>
      </c>
    </row>
    <row r="234" spans="1:26" ht="138" hidden="1" outlineLevel="1">
      <c r="A234" s="44" t="s">
        <v>220</v>
      </c>
      <c r="B234" s="60" t="s">
        <v>257</v>
      </c>
      <c r="C234" s="28" t="s">
        <v>258</v>
      </c>
    </row>
    <row r="235" spans="1:26" ht="69" hidden="1" outlineLevel="1">
      <c r="A235" s="44" t="s">
        <v>249</v>
      </c>
      <c r="B235" s="28" t="s">
        <v>216</v>
      </c>
      <c r="C235" s="28" t="s">
        <v>217</v>
      </c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27.6" hidden="1" outlineLevel="1">
      <c r="A236" s="44" t="s">
        <v>250</v>
      </c>
      <c r="B236" s="28" t="s">
        <v>218</v>
      </c>
      <c r="C236" s="45" t="s">
        <v>219</v>
      </c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4.4" hidden="1" outlineLevel="1">
      <c r="A237" s="44" t="s">
        <v>259</v>
      </c>
      <c r="B237" s="28" t="s">
        <v>193</v>
      </c>
      <c r="C237" s="28" t="s">
        <v>38</v>
      </c>
    </row>
    <row r="238" spans="1:26" ht="14.4" hidden="1" outlineLevel="1">
      <c r="A238" s="44" t="s">
        <v>260</v>
      </c>
      <c r="B238" s="31" t="s">
        <v>221</v>
      </c>
      <c r="C238" s="28" t="s">
        <v>222</v>
      </c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7.399999999999999" collapsed="1">
      <c r="A239" s="29" t="s">
        <v>275</v>
      </c>
      <c r="B239" s="58"/>
      <c r="C239" s="59"/>
    </row>
    <row r="240" spans="1:26" ht="14.4" hidden="1" outlineLevel="1">
      <c r="A240" s="52" t="s">
        <v>5</v>
      </c>
      <c r="B240" s="24" t="s">
        <v>6</v>
      </c>
      <c r="C240" s="53" t="s">
        <v>7</v>
      </c>
    </row>
    <row r="241" spans="1:26" ht="28.2" hidden="1" outlineLevel="1">
      <c r="A241" s="44" t="s">
        <v>8</v>
      </c>
      <c r="B241" s="54" t="s">
        <v>224</v>
      </c>
      <c r="C241" s="28" t="s">
        <v>207</v>
      </c>
    </row>
    <row r="242" spans="1:26" ht="41.4" hidden="1" outlineLevel="1">
      <c r="A242" s="55" t="s">
        <v>11</v>
      </c>
      <c r="B242" s="56" t="s">
        <v>276</v>
      </c>
      <c r="C242" s="57" t="s">
        <v>34</v>
      </c>
    </row>
    <row r="243" spans="1:26" ht="14.4" hidden="1" outlineLevel="1">
      <c r="A243" s="44" t="s">
        <v>13</v>
      </c>
      <c r="B243" s="51" t="s">
        <v>226</v>
      </c>
      <c r="C243" s="51" t="s">
        <v>227</v>
      </c>
    </row>
    <row r="244" spans="1:26" ht="14.4" hidden="1" outlineLevel="1">
      <c r="A244" s="44" t="s">
        <v>14</v>
      </c>
      <c r="B244" s="28" t="s">
        <v>263</v>
      </c>
      <c r="C244" s="28" t="s">
        <v>38</v>
      </c>
    </row>
    <row r="245" spans="1:26" ht="17.399999999999999" collapsed="1">
      <c r="A245" s="29" t="s">
        <v>277</v>
      </c>
      <c r="B245" s="67"/>
      <c r="C245" s="128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4.4" hidden="1" outlineLevel="1">
      <c r="A246" s="52" t="s">
        <v>5</v>
      </c>
      <c r="B246" s="24" t="s">
        <v>6</v>
      </c>
      <c r="C246" s="53" t="s">
        <v>7</v>
      </c>
    </row>
    <row r="247" spans="1:26" ht="28.2" hidden="1" outlineLevel="1">
      <c r="A247" s="44" t="s">
        <v>8</v>
      </c>
      <c r="B247" s="54" t="s">
        <v>206</v>
      </c>
      <c r="C247" s="28" t="s">
        <v>207</v>
      </c>
    </row>
    <row r="248" spans="1:26" ht="14.4" hidden="1" outlineLevel="1">
      <c r="A248" s="44" t="s">
        <v>11</v>
      </c>
      <c r="B248" s="56" t="s">
        <v>241</v>
      </c>
      <c r="C248" s="28" t="s">
        <v>209</v>
      </c>
    </row>
    <row r="249" spans="1:26" ht="14.4" hidden="1" outlineLevel="1">
      <c r="A249" s="44" t="s">
        <v>13</v>
      </c>
      <c r="B249" s="57" t="s">
        <v>35</v>
      </c>
      <c r="C249" s="57" t="s">
        <v>36</v>
      </c>
    </row>
    <row r="250" spans="1:26" ht="14.4" hidden="1" outlineLevel="1">
      <c r="A250" s="44" t="s">
        <v>14</v>
      </c>
      <c r="B250" s="28" t="s">
        <v>210</v>
      </c>
      <c r="C250" s="28" t="s">
        <v>211</v>
      </c>
    </row>
    <row r="251" spans="1:26" ht="14.4" hidden="1" outlineLevel="1">
      <c r="A251" s="44" t="s">
        <v>15</v>
      </c>
      <c r="B251" s="28" t="s">
        <v>212</v>
      </c>
      <c r="C251" s="28" t="s">
        <v>213</v>
      </c>
    </row>
    <row r="252" spans="1:26" ht="14.25" hidden="1" customHeight="1" outlineLevel="1">
      <c r="A252" s="44" t="s">
        <v>18</v>
      </c>
      <c r="B252" s="48" t="s">
        <v>278</v>
      </c>
      <c r="C252" s="28" t="s">
        <v>242</v>
      </c>
    </row>
    <row r="253" spans="1:26" ht="14.4" hidden="1" outlineLevel="1">
      <c r="A253" s="44" t="s">
        <v>20</v>
      </c>
      <c r="B253" s="28" t="s">
        <v>245</v>
      </c>
      <c r="C253" s="28" t="s">
        <v>246</v>
      </c>
    </row>
    <row r="254" spans="1:26" ht="151.80000000000001" hidden="1" outlineLevel="1">
      <c r="A254" s="44" t="s">
        <v>22</v>
      </c>
      <c r="B254" s="60" t="s">
        <v>247</v>
      </c>
      <c r="C254" s="28" t="s">
        <v>248</v>
      </c>
    </row>
    <row r="255" spans="1:26" ht="69" hidden="1" outlineLevel="1">
      <c r="A255" s="44" t="s">
        <v>29</v>
      </c>
      <c r="B255" s="28" t="s">
        <v>216</v>
      </c>
      <c r="C255" s="28" t="s">
        <v>217</v>
      </c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27.6" hidden="1" outlineLevel="1">
      <c r="A256" s="44" t="s">
        <v>32</v>
      </c>
      <c r="B256" s="28" t="s">
        <v>218</v>
      </c>
      <c r="C256" s="45" t="s">
        <v>219</v>
      </c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4.4" hidden="1" outlineLevel="1">
      <c r="A257" s="44" t="s">
        <v>220</v>
      </c>
      <c r="B257" s="28" t="s">
        <v>193</v>
      </c>
      <c r="C257" s="28" t="s">
        <v>38</v>
      </c>
    </row>
    <row r="258" spans="1:26" ht="17.399999999999999" collapsed="1">
      <c r="A258" s="29" t="s">
        <v>279</v>
      </c>
      <c r="B258" s="67"/>
      <c r="C258" s="128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4.4" hidden="1" outlineLevel="1">
      <c r="A259" s="52" t="s">
        <v>5</v>
      </c>
      <c r="B259" s="24" t="s">
        <v>6</v>
      </c>
      <c r="C259" s="53" t="s">
        <v>7</v>
      </c>
    </row>
    <row r="260" spans="1:26" ht="28.2" hidden="1" outlineLevel="1">
      <c r="A260" s="44" t="s">
        <v>8</v>
      </c>
      <c r="B260" s="54" t="s">
        <v>224</v>
      </c>
      <c r="C260" s="28" t="s">
        <v>207</v>
      </c>
    </row>
    <row r="261" spans="1:26" ht="41.4" hidden="1" outlineLevel="1">
      <c r="A261" s="55" t="s">
        <v>11</v>
      </c>
      <c r="B261" s="56" t="s">
        <v>280</v>
      </c>
      <c r="C261" s="57" t="s">
        <v>34</v>
      </c>
    </row>
    <row r="262" spans="1:26" ht="14.4" hidden="1" outlineLevel="1">
      <c r="A262" s="44" t="s">
        <v>13</v>
      </c>
      <c r="B262" s="51" t="s">
        <v>226</v>
      </c>
      <c r="C262" s="51" t="s">
        <v>227</v>
      </c>
    </row>
    <row r="263" spans="1:26" ht="14.4" hidden="1" outlineLevel="1">
      <c r="A263" s="44" t="s">
        <v>14</v>
      </c>
      <c r="B263" s="28" t="s">
        <v>193</v>
      </c>
      <c r="C263" s="28" t="s">
        <v>38</v>
      </c>
    </row>
    <row r="264" spans="1:26" ht="17.399999999999999" collapsed="1">
      <c r="A264" s="29" t="s">
        <v>281</v>
      </c>
      <c r="B264" s="67"/>
      <c r="C264" s="128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4.4" hidden="1" outlineLevel="2">
      <c r="A265" s="52" t="s">
        <v>5</v>
      </c>
      <c r="B265" s="24" t="s">
        <v>6</v>
      </c>
      <c r="C265" s="53" t="s">
        <v>7</v>
      </c>
    </row>
    <row r="266" spans="1:26" ht="28.2" hidden="1" outlineLevel="2">
      <c r="A266" s="44" t="s">
        <v>8</v>
      </c>
      <c r="B266" s="54" t="s">
        <v>206</v>
      </c>
      <c r="C266" s="28" t="s">
        <v>207</v>
      </c>
    </row>
    <row r="267" spans="1:26" ht="14.4" hidden="1" outlineLevel="2">
      <c r="A267" s="44" t="s">
        <v>11</v>
      </c>
      <c r="B267" s="56" t="s">
        <v>241</v>
      </c>
      <c r="C267" s="28" t="s">
        <v>209</v>
      </c>
    </row>
    <row r="268" spans="1:26" ht="14.4" hidden="1" outlineLevel="2">
      <c r="A268" s="44" t="s">
        <v>13</v>
      </c>
      <c r="B268" s="57" t="s">
        <v>35</v>
      </c>
      <c r="C268" s="57" t="s">
        <v>36</v>
      </c>
    </row>
    <row r="269" spans="1:26" ht="14.4" hidden="1" outlineLevel="2">
      <c r="A269" s="44" t="s">
        <v>14</v>
      </c>
      <c r="B269" s="28" t="s">
        <v>210</v>
      </c>
      <c r="C269" s="28" t="s">
        <v>211</v>
      </c>
    </row>
    <row r="270" spans="1:26" ht="14.4" hidden="1" outlineLevel="2">
      <c r="A270" s="44" t="s">
        <v>15</v>
      </c>
      <c r="B270" s="28" t="s">
        <v>212</v>
      </c>
      <c r="C270" s="28" t="s">
        <v>213</v>
      </c>
    </row>
    <row r="271" spans="1:26" ht="14.4" hidden="1" outlineLevel="2">
      <c r="A271" s="44" t="s">
        <v>18</v>
      </c>
      <c r="B271" s="48" t="s">
        <v>278</v>
      </c>
      <c r="C271" s="28" t="s">
        <v>242</v>
      </c>
    </row>
    <row r="272" spans="1:26" ht="14.4" hidden="1" outlineLevel="2">
      <c r="A272" s="44" t="s">
        <v>20</v>
      </c>
      <c r="B272" s="28" t="s">
        <v>245</v>
      </c>
      <c r="C272" s="28" t="s">
        <v>246</v>
      </c>
    </row>
    <row r="273" spans="1:26" ht="96.6" hidden="1" outlineLevel="2">
      <c r="A273" s="44" t="s">
        <v>22</v>
      </c>
      <c r="B273" s="60" t="s">
        <v>247</v>
      </c>
      <c r="C273" s="28" t="s">
        <v>254</v>
      </c>
    </row>
    <row r="274" spans="1:26" ht="96.6" hidden="1" outlineLevel="2">
      <c r="A274" s="44" t="s">
        <v>29</v>
      </c>
      <c r="B274" s="28" t="s">
        <v>255</v>
      </c>
      <c r="C274" s="28" t="s">
        <v>256</v>
      </c>
    </row>
    <row r="275" spans="1:26" ht="138" hidden="1" outlineLevel="2">
      <c r="A275" s="44" t="s">
        <v>32</v>
      </c>
      <c r="B275" s="60" t="s">
        <v>257</v>
      </c>
      <c r="C275" s="28" t="s">
        <v>258</v>
      </c>
    </row>
    <row r="276" spans="1:26" ht="69" hidden="1" outlineLevel="2">
      <c r="A276" s="44" t="s">
        <v>220</v>
      </c>
      <c r="B276" s="28" t="s">
        <v>216</v>
      </c>
      <c r="C276" s="28" t="s">
        <v>217</v>
      </c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27.6" hidden="1" outlineLevel="2">
      <c r="A277" s="44" t="s">
        <v>249</v>
      </c>
      <c r="B277" s="28" t="s">
        <v>218</v>
      </c>
      <c r="C277" s="45" t="s">
        <v>219</v>
      </c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4.4" hidden="1" outlineLevel="2">
      <c r="A278" s="44" t="s">
        <v>250</v>
      </c>
      <c r="B278" s="28" t="s">
        <v>263</v>
      </c>
      <c r="C278" s="28" t="s">
        <v>38</v>
      </c>
    </row>
    <row r="279" spans="1:26" ht="14.4" hidden="1" outlineLevel="2">
      <c r="A279" s="44" t="s">
        <v>259</v>
      </c>
      <c r="B279" s="31" t="s">
        <v>221</v>
      </c>
      <c r="C279" s="28" t="s">
        <v>222</v>
      </c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7.399999999999999" collapsed="1">
      <c r="A280" s="22" t="s">
        <v>282</v>
      </c>
      <c r="B280" s="19"/>
      <c r="C280" s="19"/>
    </row>
    <row r="281" spans="1:26" ht="14.4" hidden="1" outlineLevel="1">
      <c r="A281" s="52" t="s">
        <v>5</v>
      </c>
      <c r="B281" s="24" t="s">
        <v>6</v>
      </c>
      <c r="C281" s="53" t="s">
        <v>7</v>
      </c>
    </row>
    <row r="282" spans="1:26" ht="28.2" hidden="1" outlineLevel="1">
      <c r="A282" s="44" t="s">
        <v>8</v>
      </c>
      <c r="B282" s="54" t="s">
        <v>224</v>
      </c>
      <c r="C282" s="28" t="s">
        <v>207</v>
      </c>
    </row>
    <row r="283" spans="1:26" ht="41.4" hidden="1" outlineLevel="1">
      <c r="A283" s="55" t="s">
        <v>11</v>
      </c>
      <c r="B283" s="56" t="s">
        <v>283</v>
      </c>
      <c r="C283" s="57" t="s">
        <v>34</v>
      </c>
    </row>
    <row r="284" spans="1:26" ht="14.4" hidden="1" outlineLevel="1">
      <c r="A284" s="44" t="s">
        <v>13</v>
      </c>
      <c r="B284" s="51" t="s">
        <v>226</v>
      </c>
      <c r="C284" s="51" t="s">
        <v>227</v>
      </c>
    </row>
    <row r="285" spans="1:26" ht="14.4" hidden="1" outlineLevel="1">
      <c r="A285" s="44" t="s">
        <v>14</v>
      </c>
      <c r="B285" s="28" t="s">
        <v>263</v>
      </c>
      <c r="C285" s="28" t="s">
        <v>38</v>
      </c>
    </row>
    <row r="286" spans="1:26" ht="17.399999999999999" collapsed="1">
      <c r="A286" s="22" t="s">
        <v>284</v>
      </c>
      <c r="B286" s="19"/>
      <c r="C286" s="19"/>
    </row>
    <row r="287" spans="1:26" ht="14.4" hidden="1" outlineLevel="1">
      <c r="A287" s="52" t="s">
        <v>5</v>
      </c>
      <c r="B287" s="24" t="s">
        <v>6</v>
      </c>
      <c r="C287" s="53" t="s">
        <v>7</v>
      </c>
    </row>
    <row r="288" spans="1:26" ht="28.2" hidden="1" outlineLevel="1">
      <c r="A288" s="44" t="s">
        <v>8</v>
      </c>
      <c r="B288" s="54" t="s">
        <v>206</v>
      </c>
      <c r="C288" s="28" t="s">
        <v>207</v>
      </c>
    </row>
    <row r="289" spans="1:26" ht="14.4" hidden="1" outlineLevel="1">
      <c r="A289" s="44" t="s">
        <v>11</v>
      </c>
      <c r="B289" s="56" t="s">
        <v>241</v>
      </c>
      <c r="C289" s="28" t="s">
        <v>209</v>
      </c>
    </row>
    <row r="290" spans="1:26" ht="14.4" hidden="1" outlineLevel="1">
      <c r="A290" s="44" t="s">
        <v>13</v>
      </c>
      <c r="B290" s="57" t="s">
        <v>35</v>
      </c>
      <c r="C290" s="57" t="s">
        <v>36</v>
      </c>
    </row>
    <row r="291" spans="1:26" ht="14.4" hidden="1" outlineLevel="1">
      <c r="A291" s="44" t="s">
        <v>14</v>
      </c>
      <c r="B291" s="28" t="s">
        <v>285</v>
      </c>
      <c r="C291" s="28" t="s">
        <v>211</v>
      </c>
    </row>
    <row r="292" spans="1:26" ht="14.4" hidden="1" outlineLevel="1">
      <c r="A292" s="44" t="s">
        <v>15</v>
      </c>
      <c r="B292" s="28" t="s">
        <v>212</v>
      </c>
      <c r="C292" s="28" t="s">
        <v>213</v>
      </c>
    </row>
    <row r="293" spans="1:26" ht="27.6" hidden="1" outlineLevel="1">
      <c r="A293" s="44" t="s">
        <v>18</v>
      </c>
      <c r="B293" s="28" t="s">
        <v>218</v>
      </c>
      <c r="C293" s="45" t="s">
        <v>219</v>
      </c>
    </row>
    <row r="294" spans="1:26" ht="14.4" hidden="1" outlineLevel="1">
      <c r="A294" s="44" t="s">
        <v>20</v>
      </c>
      <c r="B294" s="28" t="s">
        <v>263</v>
      </c>
      <c r="C294" s="28" t="s">
        <v>38</v>
      </c>
    </row>
    <row r="295" spans="1:26" ht="14.4" hidden="1" outlineLevel="1">
      <c r="A295" s="44" t="s">
        <v>22</v>
      </c>
      <c r="B295" s="31" t="s">
        <v>221</v>
      </c>
      <c r="C295" s="28" t="s">
        <v>222</v>
      </c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7.399999999999999" collapsed="1">
      <c r="A296" s="22" t="s">
        <v>286</v>
      </c>
      <c r="B296" s="19"/>
      <c r="C296" s="19"/>
    </row>
    <row r="297" spans="1:26" ht="14.4" hidden="1" outlineLevel="1">
      <c r="A297" s="52" t="s">
        <v>5</v>
      </c>
      <c r="B297" s="24" t="s">
        <v>6</v>
      </c>
      <c r="C297" s="53" t="s">
        <v>7</v>
      </c>
    </row>
    <row r="298" spans="1:26" ht="28.2" hidden="1" outlineLevel="1">
      <c r="A298" s="44" t="s">
        <v>8</v>
      </c>
      <c r="B298" s="54" t="s">
        <v>224</v>
      </c>
      <c r="C298" s="28" t="s">
        <v>207</v>
      </c>
    </row>
    <row r="299" spans="1:26" ht="27.6" hidden="1" outlineLevel="1">
      <c r="A299" s="55" t="s">
        <v>11</v>
      </c>
      <c r="B299" s="56" t="s">
        <v>287</v>
      </c>
      <c r="C299" s="57" t="s">
        <v>34</v>
      </c>
    </row>
    <row r="300" spans="1:26" ht="14.4" hidden="1" outlineLevel="1">
      <c r="A300" s="44" t="s">
        <v>13</v>
      </c>
      <c r="B300" s="51" t="s">
        <v>226</v>
      </c>
      <c r="C300" s="51" t="s">
        <v>227</v>
      </c>
    </row>
    <row r="301" spans="1:26" ht="14.4" hidden="1" outlineLevel="1">
      <c r="A301" s="44" t="s">
        <v>14</v>
      </c>
      <c r="B301" s="28" t="s">
        <v>263</v>
      </c>
      <c r="C301" s="28" t="s">
        <v>38</v>
      </c>
    </row>
    <row r="302" spans="1:26" ht="17.399999999999999" collapsed="1">
      <c r="A302" s="22" t="s">
        <v>288</v>
      </c>
      <c r="B302" s="19"/>
      <c r="C302" s="19"/>
    </row>
    <row r="303" spans="1:26" ht="14.4" hidden="1" outlineLevel="1">
      <c r="A303" s="52" t="s">
        <v>5</v>
      </c>
      <c r="B303" s="24" t="s">
        <v>6</v>
      </c>
      <c r="C303" s="53" t="s">
        <v>7</v>
      </c>
    </row>
    <row r="304" spans="1:26" ht="28.2" hidden="1" outlineLevel="1">
      <c r="A304" s="44" t="s">
        <v>8</v>
      </c>
      <c r="B304" s="54" t="s">
        <v>206</v>
      </c>
      <c r="C304" s="28" t="s">
        <v>207</v>
      </c>
    </row>
    <row r="305" spans="1:26" ht="14.4" hidden="1" outlineLevel="1">
      <c r="A305" s="44" t="s">
        <v>11</v>
      </c>
      <c r="B305" s="56" t="s">
        <v>241</v>
      </c>
      <c r="C305" s="28" t="s">
        <v>209</v>
      </c>
    </row>
    <row r="306" spans="1:26" ht="14.4" hidden="1" outlineLevel="1">
      <c r="A306" s="44" t="s">
        <v>13</v>
      </c>
      <c r="B306" s="57" t="s">
        <v>35</v>
      </c>
      <c r="C306" s="57" t="s">
        <v>36</v>
      </c>
    </row>
    <row r="307" spans="1:26" ht="14.4" hidden="1" outlineLevel="1">
      <c r="A307" s="44" t="s">
        <v>14</v>
      </c>
      <c r="B307" s="28" t="s">
        <v>289</v>
      </c>
      <c r="C307" s="28" t="s">
        <v>211</v>
      </c>
    </row>
    <row r="308" spans="1:26" ht="14.4" hidden="1" outlineLevel="1">
      <c r="A308" s="44" t="s">
        <v>15</v>
      </c>
      <c r="B308" s="28" t="s">
        <v>212</v>
      </c>
      <c r="C308" s="28" t="s">
        <v>213</v>
      </c>
    </row>
    <row r="309" spans="1:26" ht="14.4" hidden="1" outlineLevel="1">
      <c r="A309" s="44" t="s">
        <v>18</v>
      </c>
      <c r="B309" s="28" t="s">
        <v>193</v>
      </c>
      <c r="C309" s="28" t="s">
        <v>38</v>
      </c>
    </row>
    <row r="310" spans="1:26" ht="14.4" hidden="1" outlineLevel="1">
      <c r="A310" s="44" t="s">
        <v>20</v>
      </c>
      <c r="B310" s="31" t="s">
        <v>221</v>
      </c>
      <c r="C310" s="28" t="s">
        <v>222</v>
      </c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7.399999999999999" collapsed="1">
      <c r="A311" s="22" t="s">
        <v>290</v>
      </c>
      <c r="B311" s="19"/>
      <c r="C311" s="19"/>
    </row>
    <row r="312" spans="1:26" ht="14.4" hidden="1" outlineLevel="1">
      <c r="A312" s="52" t="s">
        <v>5</v>
      </c>
      <c r="B312" s="24" t="s">
        <v>6</v>
      </c>
      <c r="C312" s="53" t="s">
        <v>7</v>
      </c>
    </row>
    <row r="313" spans="1:26" ht="28.2" hidden="1" outlineLevel="1">
      <c r="A313" s="44" t="s">
        <v>8</v>
      </c>
      <c r="B313" s="54" t="s">
        <v>224</v>
      </c>
      <c r="C313" s="28" t="s">
        <v>207</v>
      </c>
    </row>
    <row r="314" spans="1:26" ht="27.6" hidden="1" outlineLevel="1">
      <c r="A314" s="55" t="s">
        <v>11</v>
      </c>
      <c r="B314" s="56" t="s">
        <v>291</v>
      </c>
      <c r="C314" s="57" t="s">
        <v>34</v>
      </c>
    </row>
    <row r="315" spans="1:26" ht="14.4" hidden="1" outlineLevel="1">
      <c r="A315" s="44" t="s">
        <v>13</v>
      </c>
      <c r="B315" s="51" t="s">
        <v>226</v>
      </c>
      <c r="C315" s="51" t="s">
        <v>227</v>
      </c>
    </row>
    <row r="316" spans="1:26" ht="14.4" hidden="1" outlineLevel="1">
      <c r="A316" s="44" t="s">
        <v>14</v>
      </c>
      <c r="B316" s="28" t="s">
        <v>263</v>
      </c>
      <c r="C316" s="28" t="s">
        <v>38</v>
      </c>
    </row>
    <row r="317" spans="1:26" ht="17.399999999999999" collapsed="1">
      <c r="A317" s="29" t="s">
        <v>135</v>
      </c>
      <c r="B317" s="68"/>
      <c r="C317" s="129"/>
    </row>
    <row r="318" spans="1:26" ht="14.4" hidden="1" outlineLevel="1">
      <c r="A318" s="52" t="s">
        <v>5</v>
      </c>
      <c r="B318" s="24" t="s">
        <v>6</v>
      </c>
      <c r="C318" s="53" t="s">
        <v>7</v>
      </c>
    </row>
    <row r="319" spans="1:26" ht="27.6" hidden="1" outlineLevel="1">
      <c r="A319" s="69" t="s">
        <v>8</v>
      </c>
      <c r="B319" s="57" t="s">
        <v>292</v>
      </c>
      <c r="C319" s="57" t="s">
        <v>293</v>
      </c>
    </row>
    <row r="320" spans="1:26" ht="27.6" hidden="1" outlineLevel="1">
      <c r="A320" s="69" t="s">
        <v>11</v>
      </c>
      <c r="B320" s="57" t="s">
        <v>294</v>
      </c>
      <c r="C320" s="57" t="s">
        <v>293</v>
      </c>
    </row>
    <row r="321" spans="1:3" ht="55.2" hidden="1" outlineLevel="1">
      <c r="A321" s="69" t="s">
        <v>13</v>
      </c>
      <c r="B321" s="57" t="s">
        <v>295</v>
      </c>
      <c r="C321" s="57" t="s">
        <v>296</v>
      </c>
    </row>
    <row r="322" spans="1:3" ht="96.6" hidden="1" outlineLevel="1">
      <c r="A322" s="69" t="s">
        <v>14</v>
      </c>
      <c r="B322" s="57" t="s">
        <v>297</v>
      </c>
      <c r="C322" s="28" t="s">
        <v>298</v>
      </c>
    </row>
    <row r="323" spans="1:3" ht="96.6" hidden="1" outlineLevel="1">
      <c r="A323" s="69" t="s">
        <v>15</v>
      </c>
      <c r="B323" s="57" t="s">
        <v>297</v>
      </c>
      <c r="C323" s="28" t="s">
        <v>298</v>
      </c>
    </row>
    <row r="324" spans="1:3" ht="27.6" hidden="1" outlineLevel="1">
      <c r="A324" s="69" t="s">
        <v>18</v>
      </c>
      <c r="B324" s="57" t="s">
        <v>299</v>
      </c>
      <c r="C324" s="57" t="s">
        <v>300</v>
      </c>
    </row>
    <row r="325" spans="1:3" ht="21.6">
      <c r="A325" s="18" t="s">
        <v>301</v>
      </c>
      <c r="B325" s="19"/>
      <c r="C325" s="20"/>
    </row>
    <row r="326" spans="1:3" ht="17.399999999999999" collapsed="1">
      <c r="A326" s="29" t="s">
        <v>302</v>
      </c>
      <c r="B326" s="68"/>
      <c r="C326" s="129"/>
    </row>
    <row r="327" spans="1:3" ht="14.4" hidden="1" outlineLevel="2">
      <c r="A327" s="52" t="s">
        <v>5</v>
      </c>
      <c r="B327" s="24" t="s">
        <v>6</v>
      </c>
      <c r="C327" s="53" t="s">
        <v>7</v>
      </c>
    </row>
    <row r="328" spans="1:3" ht="14.4" hidden="1" outlineLevel="2">
      <c r="A328" s="70" t="s">
        <v>8</v>
      </c>
      <c r="B328" s="71" t="s">
        <v>303</v>
      </c>
      <c r="C328" s="71" t="s">
        <v>304</v>
      </c>
    </row>
    <row r="329" spans="1:3" ht="72" hidden="1" outlineLevel="2">
      <c r="A329" s="72" t="s">
        <v>11</v>
      </c>
      <c r="B329" s="71" t="s">
        <v>305</v>
      </c>
      <c r="C329" s="71" t="s">
        <v>306</v>
      </c>
    </row>
    <row r="330" spans="1:3" ht="100.8" hidden="1" outlineLevel="2">
      <c r="A330" s="73"/>
      <c r="B330" s="71" t="s">
        <v>307</v>
      </c>
      <c r="C330" s="71" t="s">
        <v>308</v>
      </c>
    </row>
    <row r="331" spans="1:3" ht="72" hidden="1" outlineLevel="2">
      <c r="A331" s="73"/>
      <c r="B331" s="71" t="s">
        <v>309</v>
      </c>
      <c r="C331" s="71" t="s">
        <v>310</v>
      </c>
    </row>
    <row r="332" spans="1:3" ht="158.4" hidden="1" outlineLevel="2">
      <c r="A332" s="74"/>
      <c r="B332" s="71" t="s">
        <v>311</v>
      </c>
      <c r="C332" s="71" t="s">
        <v>306</v>
      </c>
    </row>
    <row r="333" spans="1:3" ht="28.8" hidden="1" outlineLevel="2">
      <c r="A333" s="70" t="s">
        <v>13</v>
      </c>
      <c r="B333" s="71" t="s">
        <v>312</v>
      </c>
      <c r="C333" s="71" t="s">
        <v>313</v>
      </c>
    </row>
    <row r="334" spans="1:3" ht="144" hidden="1" outlineLevel="2">
      <c r="A334" s="70" t="s">
        <v>14</v>
      </c>
      <c r="B334" s="71" t="s">
        <v>314</v>
      </c>
      <c r="C334" s="71" t="s">
        <v>315</v>
      </c>
    </row>
    <row r="335" spans="1:3" ht="28.8" hidden="1" outlineLevel="2">
      <c r="A335" s="70" t="s">
        <v>15</v>
      </c>
      <c r="B335" s="71" t="s">
        <v>316</v>
      </c>
      <c r="C335" s="71" t="s">
        <v>317</v>
      </c>
    </row>
    <row r="336" spans="1:3" ht="43.2" hidden="1" outlineLevel="2">
      <c r="A336" s="72" t="s">
        <v>18</v>
      </c>
      <c r="B336" s="75" t="s">
        <v>318</v>
      </c>
      <c r="C336" s="71" t="s">
        <v>319</v>
      </c>
    </row>
    <row r="337" spans="1:3" ht="28.8" hidden="1" outlineLevel="2">
      <c r="A337" s="73"/>
      <c r="B337" s="73"/>
      <c r="C337" s="71" t="s">
        <v>320</v>
      </c>
    </row>
    <row r="338" spans="1:3" ht="14.4" hidden="1" outlineLevel="2">
      <c r="A338" s="73"/>
      <c r="B338" s="73"/>
      <c r="C338" s="71" t="s">
        <v>321</v>
      </c>
    </row>
    <row r="339" spans="1:3" ht="14.4" hidden="1" outlineLevel="2">
      <c r="A339" s="74"/>
      <c r="B339" s="74"/>
      <c r="C339" s="71" t="s">
        <v>322</v>
      </c>
    </row>
    <row r="340" spans="1:3" ht="17.399999999999999" collapsed="1">
      <c r="A340" s="29" t="s">
        <v>323</v>
      </c>
      <c r="B340" s="68"/>
      <c r="C340" s="129"/>
    </row>
    <row r="341" spans="1:3" ht="14.4" hidden="1" outlineLevel="1">
      <c r="A341" s="52" t="s">
        <v>5</v>
      </c>
      <c r="B341" s="24" t="s">
        <v>6</v>
      </c>
      <c r="C341" s="53" t="s">
        <v>7</v>
      </c>
    </row>
    <row r="342" spans="1:3" ht="14.4" hidden="1" outlineLevel="1">
      <c r="A342" s="70" t="s">
        <v>8</v>
      </c>
      <c r="B342" s="71" t="s">
        <v>303</v>
      </c>
      <c r="C342" s="71" t="s">
        <v>304</v>
      </c>
    </row>
    <row r="343" spans="1:3" ht="72" hidden="1" outlineLevel="1">
      <c r="A343" s="72" t="s">
        <v>11</v>
      </c>
      <c r="B343" s="71" t="s">
        <v>305</v>
      </c>
      <c r="C343" s="71" t="s">
        <v>306</v>
      </c>
    </row>
    <row r="344" spans="1:3" ht="100.8" hidden="1" outlineLevel="1">
      <c r="A344" s="73"/>
      <c r="B344" s="71" t="s">
        <v>307</v>
      </c>
      <c r="C344" s="71" t="s">
        <v>308</v>
      </c>
    </row>
    <row r="345" spans="1:3" ht="72" hidden="1" outlineLevel="1">
      <c r="A345" s="73"/>
      <c r="B345" s="71" t="s">
        <v>309</v>
      </c>
      <c r="C345" s="71" t="s">
        <v>310</v>
      </c>
    </row>
    <row r="346" spans="1:3" ht="158.4" hidden="1" outlineLevel="1">
      <c r="A346" s="74"/>
      <c r="B346" s="71" t="s">
        <v>311</v>
      </c>
      <c r="C346" s="71" t="s">
        <v>306</v>
      </c>
    </row>
    <row r="347" spans="1:3" ht="28.8" hidden="1" outlineLevel="1">
      <c r="A347" s="70" t="s">
        <v>13</v>
      </c>
      <c r="B347" s="71" t="s">
        <v>312</v>
      </c>
      <c r="C347" s="71" t="s">
        <v>313</v>
      </c>
    </row>
    <row r="348" spans="1:3" ht="144" hidden="1" outlineLevel="1">
      <c r="A348" s="70" t="s">
        <v>14</v>
      </c>
      <c r="B348" s="71" t="s">
        <v>314</v>
      </c>
      <c r="C348" s="71" t="s">
        <v>315</v>
      </c>
    </row>
    <row r="349" spans="1:3" ht="28.8" hidden="1" outlineLevel="1">
      <c r="A349" s="70" t="s">
        <v>15</v>
      </c>
      <c r="B349" s="71" t="s">
        <v>316</v>
      </c>
      <c r="C349" s="71" t="s">
        <v>317</v>
      </c>
    </row>
    <row r="350" spans="1:3" ht="43.2" hidden="1" outlineLevel="1">
      <c r="A350" s="72" t="s">
        <v>18</v>
      </c>
      <c r="B350" s="75" t="s">
        <v>324</v>
      </c>
      <c r="C350" s="71" t="s">
        <v>325</v>
      </c>
    </row>
    <row r="351" spans="1:3" ht="43.2" hidden="1" outlineLevel="1">
      <c r="A351" s="73"/>
      <c r="B351" s="73"/>
      <c r="C351" s="71" t="s">
        <v>326</v>
      </c>
    </row>
    <row r="352" spans="1:3" ht="28.8" hidden="1" outlineLevel="1">
      <c r="A352" s="73"/>
      <c r="B352" s="73"/>
      <c r="C352" s="71" t="s">
        <v>320</v>
      </c>
    </row>
    <row r="353" spans="1:3" ht="14.4" hidden="1" outlineLevel="1">
      <c r="A353" s="73"/>
      <c r="B353" s="73"/>
      <c r="C353" s="71" t="s">
        <v>321</v>
      </c>
    </row>
    <row r="354" spans="1:3" ht="14.4" hidden="1" outlineLevel="1">
      <c r="A354" s="74"/>
      <c r="B354" s="74"/>
      <c r="C354" s="71" t="s">
        <v>322</v>
      </c>
    </row>
    <row r="355" spans="1:3" ht="17.399999999999999" collapsed="1">
      <c r="A355" s="76" t="s">
        <v>327</v>
      </c>
      <c r="B355" s="77"/>
      <c r="C355" s="130"/>
    </row>
    <row r="356" spans="1:3" ht="14.4" hidden="1" outlineLevel="1">
      <c r="A356" s="52" t="s">
        <v>5</v>
      </c>
      <c r="B356" s="24" t="s">
        <v>6</v>
      </c>
      <c r="C356" s="53" t="s">
        <v>7</v>
      </c>
    </row>
    <row r="357" spans="1:3" ht="14.4" hidden="1" outlineLevel="1">
      <c r="A357" s="78" t="s">
        <v>8</v>
      </c>
      <c r="B357" s="79" t="s">
        <v>324</v>
      </c>
      <c r="C357" s="80" t="s">
        <v>328</v>
      </c>
    </row>
    <row r="358" spans="1:3" ht="17.399999999999999" collapsed="1">
      <c r="A358" s="76" t="s">
        <v>329</v>
      </c>
      <c r="B358" s="77"/>
      <c r="C358" s="130"/>
    </row>
    <row r="359" spans="1:3" ht="14.4" hidden="1" outlineLevel="1">
      <c r="A359" s="52" t="s">
        <v>5</v>
      </c>
      <c r="B359" s="24" t="s">
        <v>6</v>
      </c>
      <c r="C359" s="53" t="s">
        <v>7</v>
      </c>
    </row>
    <row r="360" spans="1:3" ht="14.4" hidden="1" outlineLevel="1">
      <c r="A360" s="70" t="s">
        <v>8</v>
      </c>
      <c r="B360" s="71" t="s">
        <v>330</v>
      </c>
      <c r="C360" s="71" t="s">
        <v>306</v>
      </c>
    </row>
    <row r="361" spans="1:3" ht="28.8" hidden="1" outlineLevel="1">
      <c r="A361" s="70" t="s">
        <v>11</v>
      </c>
      <c r="B361" s="71" t="s">
        <v>312</v>
      </c>
      <c r="C361" s="71" t="s">
        <v>313</v>
      </c>
    </row>
    <row r="362" spans="1:3" ht="144" hidden="1" outlineLevel="1">
      <c r="A362" s="70" t="s">
        <v>13</v>
      </c>
      <c r="B362" s="71" t="s">
        <v>314</v>
      </c>
      <c r="C362" s="71" t="s">
        <v>315</v>
      </c>
    </row>
    <row r="363" spans="1:3" ht="28.8" hidden="1" outlineLevel="1">
      <c r="A363" s="70" t="s">
        <v>14</v>
      </c>
      <c r="B363" s="71" t="s">
        <v>316</v>
      </c>
      <c r="C363" s="71" t="s">
        <v>317</v>
      </c>
    </row>
    <row r="364" spans="1:3" ht="28.8" hidden="1" outlineLevel="1">
      <c r="A364" s="70" t="s">
        <v>15</v>
      </c>
      <c r="B364" s="71" t="s">
        <v>324</v>
      </c>
      <c r="C364" s="81" t="s">
        <v>331</v>
      </c>
    </row>
    <row r="365" spans="1:3" ht="21.6">
      <c r="A365" s="18" t="s">
        <v>44</v>
      </c>
      <c r="B365" s="19"/>
      <c r="C365" s="20"/>
    </row>
    <row r="366" spans="1:3" ht="17.399999999999999" collapsed="1">
      <c r="A366" s="76" t="s">
        <v>332</v>
      </c>
      <c r="B366" s="77"/>
      <c r="C366" s="130"/>
    </row>
    <row r="367" spans="1:3" ht="14.4" hidden="1" outlineLevel="1">
      <c r="A367" s="52" t="s">
        <v>5</v>
      </c>
      <c r="B367" s="24" t="s">
        <v>6</v>
      </c>
      <c r="C367" s="53" t="s">
        <v>7</v>
      </c>
    </row>
    <row r="368" spans="1:3" ht="86.4" hidden="1" outlineLevel="1">
      <c r="A368" s="72" t="s">
        <v>8</v>
      </c>
      <c r="B368" s="71" t="s">
        <v>333</v>
      </c>
      <c r="C368" s="81" t="s">
        <v>334</v>
      </c>
    </row>
    <row r="369" spans="1:26" ht="28.8" hidden="1" outlineLevel="1">
      <c r="A369" s="73"/>
      <c r="B369" s="71" t="s">
        <v>335</v>
      </c>
      <c r="C369" s="81" t="s">
        <v>336</v>
      </c>
    </row>
    <row r="370" spans="1:26" ht="28.8" hidden="1" outlineLevel="1">
      <c r="A370" s="74"/>
      <c r="B370" s="71" t="s">
        <v>337</v>
      </c>
      <c r="C370" s="81" t="s">
        <v>338</v>
      </c>
    </row>
    <row r="371" spans="1:26" ht="14.4" hidden="1" outlineLevel="1">
      <c r="A371" s="70" t="s">
        <v>11</v>
      </c>
      <c r="B371" s="71" t="s">
        <v>324</v>
      </c>
      <c r="C371" s="81" t="s">
        <v>339</v>
      </c>
    </row>
    <row r="372" spans="1:26" ht="17.399999999999999" hidden="1" outlineLevel="1">
      <c r="A372" s="76" t="s">
        <v>340</v>
      </c>
      <c r="B372" s="77"/>
      <c r="C372" s="130"/>
    </row>
    <row r="373" spans="1:26" ht="14.4" hidden="1" outlineLevel="1">
      <c r="A373" s="52" t="s">
        <v>5</v>
      </c>
      <c r="B373" s="24" t="s">
        <v>6</v>
      </c>
      <c r="C373" s="53" t="s">
        <v>7</v>
      </c>
    </row>
    <row r="374" spans="1:26" ht="14.4" hidden="1" outlineLevel="1">
      <c r="A374" s="82" t="s">
        <v>8</v>
      </c>
      <c r="B374" s="71" t="s">
        <v>341</v>
      </c>
      <c r="C374" s="71" t="s">
        <v>342</v>
      </c>
    </row>
    <row r="375" spans="1:26" ht="28.8" hidden="1" outlineLevel="1">
      <c r="A375" s="82" t="s">
        <v>11</v>
      </c>
      <c r="B375" s="71" t="s">
        <v>324</v>
      </c>
      <c r="C375" s="81" t="s">
        <v>343</v>
      </c>
    </row>
    <row r="376" spans="1:26" ht="14.4" hidden="1" outlineLevel="1">
      <c r="A376" s="82" t="s">
        <v>13</v>
      </c>
      <c r="B376" s="71" t="s">
        <v>344</v>
      </c>
      <c r="C376" s="71" t="s">
        <v>342</v>
      </c>
    </row>
    <row r="377" spans="1:26" ht="28.8" hidden="1" outlineLevel="1">
      <c r="A377" s="82" t="s">
        <v>14</v>
      </c>
      <c r="B377" s="71" t="s">
        <v>324</v>
      </c>
      <c r="C377" s="81" t="s">
        <v>345</v>
      </c>
    </row>
    <row r="378" spans="1:26" ht="17.399999999999999" hidden="1" outlineLevel="1">
      <c r="A378" s="76" t="s">
        <v>346</v>
      </c>
      <c r="B378" s="77"/>
      <c r="C378" s="130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4.4" hidden="1" outlineLevel="1">
      <c r="A379" s="52" t="s">
        <v>5</v>
      </c>
      <c r="B379" s="24" t="s">
        <v>6</v>
      </c>
      <c r="C379" s="53" t="s">
        <v>7</v>
      </c>
    </row>
    <row r="380" spans="1:26" ht="28.8" hidden="1" outlineLevel="1">
      <c r="A380" s="83" t="s">
        <v>8</v>
      </c>
      <c r="B380" s="84" t="s">
        <v>347</v>
      </c>
      <c r="C380" s="81" t="s">
        <v>348</v>
      </c>
    </row>
    <row r="381" spans="1:26" ht="28.8" hidden="1" outlineLevel="1">
      <c r="A381" s="73"/>
      <c r="B381" s="71" t="s">
        <v>349</v>
      </c>
      <c r="C381" s="81" t="s">
        <v>350</v>
      </c>
    </row>
    <row r="382" spans="1:26" ht="28.8" hidden="1" outlineLevel="1">
      <c r="A382" s="73"/>
      <c r="B382" s="71" t="s">
        <v>351</v>
      </c>
      <c r="C382" s="81" t="s">
        <v>352</v>
      </c>
    </row>
    <row r="383" spans="1:26" ht="14.4" hidden="1" outlineLevel="1">
      <c r="A383" s="73"/>
      <c r="B383" s="71" t="s">
        <v>353</v>
      </c>
      <c r="C383" s="81" t="s">
        <v>354</v>
      </c>
    </row>
    <row r="384" spans="1:26" ht="28.8" hidden="1" outlineLevel="1">
      <c r="A384" s="73"/>
      <c r="B384" s="71" t="s">
        <v>355</v>
      </c>
      <c r="C384" s="81" t="s">
        <v>356</v>
      </c>
    </row>
    <row r="385" spans="1:3" ht="28.8" hidden="1" outlineLevel="1">
      <c r="A385" s="74"/>
      <c r="B385" s="71" t="s">
        <v>357</v>
      </c>
      <c r="C385" s="81" t="s">
        <v>358</v>
      </c>
    </row>
    <row r="386" spans="1:3" ht="57.6" hidden="1" outlineLevel="1">
      <c r="A386" s="30"/>
      <c r="B386" s="71" t="s">
        <v>359</v>
      </c>
      <c r="C386" s="81" t="s">
        <v>360</v>
      </c>
    </row>
    <row r="387" spans="1:3" ht="14.4" hidden="1" outlineLevel="1">
      <c r="A387" s="82" t="s">
        <v>11</v>
      </c>
      <c r="B387" s="71" t="s">
        <v>324</v>
      </c>
      <c r="C387" s="81" t="s">
        <v>339</v>
      </c>
    </row>
    <row r="388" spans="1:3" ht="17.399999999999999" collapsed="1">
      <c r="A388" s="29" t="s">
        <v>361</v>
      </c>
      <c r="B388" s="68"/>
      <c r="C388" s="129"/>
    </row>
    <row r="389" spans="1:3" ht="14.4" hidden="1" outlineLevel="1">
      <c r="A389" s="52" t="s">
        <v>5</v>
      </c>
      <c r="B389" s="24" t="s">
        <v>6</v>
      </c>
      <c r="C389" s="53" t="s">
        <v>7</v>
      </c>
    </row>
    <row r="390" spans="1:3" ht="14.4" hidden="1" outlineLevel="1">
      <c r="A390" s="82" t="s">
        <v>8</v>
      </c>
      <c r="B390" s="71" t="s">
        <v>362</v>
      </c>
      <c r="C390" s="71" t="s">
        <v>363</v>
      </c>
    </row>
    <row r="391" spans="1:3" ht="28.8" hidden="1" outlineLevel="1">
      <c r="A391" s="83" t="s">
        <v>11</v>
      </c>
      <c r="B391" s="75" t="s">
        <v>364</v>
      </c>
      <c r="C391" s="71" t="s">
        <v>365</v>
      </c>
    </row>
    <row r="392" spans="1:3" ht="43.2" hidden="1" outlineLevel="1">
      <c r="A392" s="74"/>
      <c r="B392" s="74"/>
      <c r="C392" s="71" t="s">
        <v>366</v>
      </c>
    </row>
    <row r="393" spans="1:3" ht="14.4" hidden="1" outlineLevel="1">
      <c r="A393" s="82" t="s">
        <v>13</v>
      </c>
      <c r="B393" s="71" t="s">
        <v>324</v>
      </c>
      <c r="C393" s="71" t="s">
        <v>367</v>
      </c>
    </row>
    <row r="394" spans="1:3" ht="100.8" hidden="1" outlineLevel="1">
      <c r="A394" s="82" t="s">
        <v>14</v>
      </c>
      <c r="B394" s="71" t="s">
        <v>368</v>
      </c>
      <c r="C394" s="71" t="s">
        <v>369</v>
      </c>
    </row>
    <row r="395" spans="1:3" ht="57.6" hidden="1" outlineLevel="1">
      <c r="A395" s="83" t="s">
        <v>15</v>
      </c>
      <c r="B395" s="75" t="s">
        <v>324</v>
      </c>
      <c r="C395" s="85" t="s">
        <v>370</v>
      </c>
    </row>
    <row r="396" spans="1:3" ht="28.8" hidden="1" outlineLevel="1">
      <c r="A396" s="73"/>
      <c r="B396" s="73"/>
      <c r="C396" s="85" t="s">
        <v>371</v>
      </c>
    </row>
    <row r="397" spans="1:3" ht="57.6" hidden="1" outlineLevel="1">
      <c r="A397" s="73"/>
      <c r="B397" s="73"/>
      <c r="C397" s="85" t="s">
        <v>372</v>
      </c>
    </row>
    <row r="398" spans="1:3" ht="28.8" hidden="1" outlineLevel="1">
      <c r="A398" s="74"/>
      <c r="B398" s="74"/>
      <c r="C398" s="85" t="s">
        <v>373</v>
      </c>
    </row>
    <row r="399" spans="1:3" ht="17.399999999999999" collapsed="1">
      <c r="A399" s="29" t="s">
        <v>374</v>
      </c>
      <c r="B399" s="68"/>
      <c r="C399" s="129"/>
    </row>
    <row r="400" spans="1:3" ht="14.4" hidden="1" outlineLevel="2">
      <c r="A400" s="52" t="s">
        <v>5</v>
      </c>
      <c r="B400" s="24" t="s">
        <v>6</v>
      </c>
      <c r="C400" s="53" t="s">
        <v>7</v>
      </c>
    </row>
    <row r="401" spans="1:3" ht="14.4" hidden="1" outlineLevel="2">
      <c r="A401" s="70" t="s">
        <v>8</v>
      </c>
      <c r="B401" s="71" t="s">
        <v>362</v>
      </c>
      <c r="C401" s="71" t="s">
        <v>363</v>
      </c>
    </row>
    <row r="402" spans="1:3" ht="28.8" hidden="1" outlineLevel="2">
      <c r="A402" s="70" t="s">
        <v>11</v>
      </c>
      <c r="B402" s="71" t="s">
        <v>375</v>
      </c>
      <c r="C402" s="71" t="s">
        <v>376</v>
      </c>
    </row>
    <row r="403" spans="1:3" ht="72" hidden="1" outlineLevel="2">
      <c r="A403" s="70" t="s">
        <v>13</v>
      </c>
      <c r="B403" s="71" t="s">
        <v>377</v>
      </c>
      <c r="C403" s="71" t="s">
        <v>378</v>
      </c>
    </row>
    <row r="404" spans="1:3" ht="28.8" hidden="1" outlineLevel="2">
      <c r="A404" s="70" t="s">
        <v>14</v>
      </c>
      <c r="B404" s="71" t="s">
        <v>379</v>
      </c>
      <c r="C404" s="71" t="s">
        <v>380</v>
      </c>
    </row>
    <row r="405" spans="1:3" ht="28.8" hidden="1" outlineLevel="2">
      <c r="A405" s="70" t="s">
        <v>15</v>
      </c>
      <c r="B405" s="71" t="s">
        <v>381</v>
      </c>
      <c r="C405" s="71" t="s">
        <v>382</v>
      </c>
    </row>
    <row r="406" spans="1:3" ht="100.8" hidden="1" outlineLevel="2">
      <c r="A406" s="70" t="s">
        <v>18</v>
      </c>
      <c r="B406" s="71" t="s">
        <v>383</v>
      </c>
      <c r="C406" s="71" t="s">
        <v>384</v>
      </c>
    </row>
    <row r="407" spans="1:3" ht="72" hidden="1" outlineLevel="2">
      <c r="A407" s="70" t="s">
        <v>20</v>
      </c>
      <c r="B407" s="71" t="s">
        <v>385</v>
      </c>
      <c r="C407" s="71" t="s">
        <v>386</v>
      </c>
    </row>
    <row r="408" spans="1:3" ht="28.8" hidden="1" outlineLevel="2">
      <c r="A408" s="70" t="s">
        <v>22</v>
      </c>
      <c r="B408" s="71" t="s">
        <v>387</v>
      </c>
      <c r="C408" s="71" t="s">
        <v>388</v>
      </c>
    </row>
    <row r="409" spans="1:3" ht="14.4" hidden="1" outlineLevel="2">
      <c r="A409" s="70" t="s">
        <v>29</v>
      </c>
      <c r="B409" s="71" t="s">
        <v>324</v>
      </c>
      <c r="C409" s="71" t="s">
        <v>367</v>
      </c>
    </row>
    <row r="410" spans="1:3" ht="100.8" hidden="1" outlineLevel="2">
      <c r="A410" s="70" t="s">
        <v>32</v>
      </c>
      <c r="B410" s="71" t="s">
        <v>368</v>
      </c>
      <c r="C410" s="71" t="s">
        <v>369</v>
      </c>
    </row>
    <row r="411" spans="1:3" ht="14.4" hidden="1" outlineLevel="2">
      <c r="A411" s="70" t="s">
        <v>220</v>
      </c>
      <c r="B411" s="71" t="s">
        <v>389</v>
      </c>
      <c r="C411" s="71" t="s">
        <v>390</v>
      </c>
    </row>
    <row r="412" spans="1:3" ht="57.6" hidden="1" outlineLevel="2">
      <c r="A412" s="72" t="s">
        <v>249</v>
      </c>
      <c r="B412" s="75" t="s">
        <v>324</v>
      </c>
      <c r="C412" s="85" t="s">
        <v>370</v>
      </c>
    </row>
    <row r="413" spans="1:3" ht="57.6" hidden="1" outlineLevel="2">
      <c r="A413" s="73"/>
      <c r="B413" s="73"/>
      <c r="C413" s="85" t="s">
        <v>391</v>
      </c>
    </row>
    <row r="414" spans="1:3" ht="57.6" hidden="1" outlineLevel="2">
      <c r="A414" s="73"/>
      <c r="B414" s="73"/>
      <c r="C414" s="86" t="s">
        <v>392</v>
      </c>
    </row>
    <row r="415" spans="1:3" ht="14.4" hidden="1" outlineLevel="2">
      <c r="A415" s="74"/>
      <c r="B415" s="74"/>
      <c r="C415" s="85" t="s">
        <v>393</v>
      </c>
    </row>
    <row r="416" spans="1:3" ht="21.6">
      <c r="A416" s="18" t="s">
        <v>45</v>
      </c>
      <c r="B416" s="19"/>
      <c r="C416" s="20"/>
    </row>
    <row r="417" spans="1:3" ht="17.399999999999999" collapsed="1">
      <c r="A417" s="29" t="s">
        <v>394</v>
      </c>
      <c r="B417" s="68"/>
      <c r="C417" s="129"/>
    </row>
    <row r="418" spans="1:3" ht="14.4" hidden="1" outlineLevel="2">
      <c r="A418" s="87" t="s">
        <v>395</v>
      </c>
      <c r="B418" s="19"/>
      <c r="C418" s="19"/>
    </row>
    <row r="419" spans="1:3" ht="14.4" hidden="1" outlineLevel="2">
      <c r="A419" s="52" t="s">
        <v>5</v>
      </c>
      <c r="B419" s="24" t="s">
        <v>6</v>
      </c>
      <c r="C419" s="53" t="s">
        <v>7</v>
      </c>
    </row>
    <row r="420" spans="1:3" ht="69" hidden="1" outlineLevel="2">
      <c r="A420" s="88" t="s">
        <v>8</v>
      </c>
      <c r="B420" s="47" t="s">
        <v>396</v>
      </c>
      <c r="C420" s="28" t="s">
        <v>397</v>
      </c>
    </row>
    <row r="421" spans="1:3" ht="14.4" hidden="1" outlineLevel="2">
      <c r="A421" s="89" t="s">
        <v>11</v>
      </c>
      <c r="B421" s="54" t="s">
        <v>398</v>
      </c>
      <c r="C421" s="28" t="s">
        <v>399</v>
      </c>
    </row>
    <row r="422" spans="1:3" ht="193.2" hidden="1" outlineLevel="2">
      <c r="A422" s="88" t="s">
        <v>13</v>
      </c>
      <c r="B422" s="28" t="s">
        <v>400</v>
      </c>
      <c r="C422" s="28" t="s">
        <v>401</v>
      </c>
    </row>
    <row r="423" spans="1:3" ht="179.4" hidden="1" outlineLevel="2">
      <c r="A423" s="88" t="s">
        <v>14</v>
      </c>
      <c r="B423" s="28" t="s">
        <v>402</v>
      </c>
      <c r="C423" s="28" t="s">
        <v>403</v>
      </c>
    </row>
    <row r="424" spans="1:3" ht="193.2" hidden="1" outlineLevel="2">
      <c r="A424" s="88" t="s">
        <v>15</v>
      </c>
      <c r="B424" s="28" t="s">
        <v>404</v>
      </c>
      <c r="C424" s="28" t="s">
        <v>405</v>
      </c>
    </row>
    <row r="425" spans="1:3" ht="82.8" hidden="1" outlineLevel="2">
      <c r="A425" s="88" t="s">
        <v>18</v>
      </c>
      <c r="B425" s="48" t="s">
        <v>406</v>
      </c>
      <c r="C425" s="28" t="s">
        <v>407</v>
      </c>
    </row>
    <row r="426" spans="1:3" ht="27.6" hidden="1" outlineLevel="2">
      <c r="A426" s="89" t="s">
        <v>22</v>
      </c>
      <c r="B426" s="28" t="s">
        <v>408</v>
      </c>
      <c r="C426" s="28" t="s">
        <v>409</v>
      </c>
    </row>
    <row r="427" spans="1:3" ht="82.8" hidden="1" outlineLevel="2">
      <c r="A427" s="89" t="s">
        <v>29</v>
      </c>
      <c r="B427" s="28" t="s">
        <v>410</v>
      </c>
      <c r="C427" s="28" t="s">
        <v>411</v>
      </c>
    </row>
    <row r="428" spans="1:3" ht="17.399999999999999" collapsed="1">
      <c r="A428" s="29" t="s">
        <v>412</v>
      </c>
      <c r="B428" s="68"/>
      <c r="C428" s="129"/>
    </row>
    <row r="429" spans="1:3" ht="14.4" hidden="1" outlineLevel="2">
      <c r="A429" s="87" t="s">
        <v>413</v>
      </c>
      <c r="B429" s="19"/>
      <c r="C429" s="19"/>
    </row>
    <row r="430" spans="1:3" ht="14.4" hidden="1" outlineLevel="2">
      <c r="A430" s="52" t="s">
        <v>5</v>
      </c>
      <c r="B430" s="24" t="s">
        <v>6</v>
      </c>
      <c r="C430" s="53" t="s">
        <v>7</v>
      </c>
    </row>
    <row r="431" spans="1:3" ht="69" hidden="1" outlineLevel="2">
      <c r="A431" s="88" t="s">
        <v>8</v>
      </c>
      <c r="B431" s="47" t="s">
        <v>414</v>
      </c>
      <c r="C431" s="28" t="s">
        <v>397</v>
      </c>
    </row>
    <row r="432" spans="1:3" ht="14.4" hidden="1" outlineLevel="2">
      <c r="A432" s="89" t="s">
        <v>11</v>
      </c>
      <c r="B432" s="54" t="s">
        <v>415</v>
      </c>
      <c r="C432" s="28" t="s">
        <v>399</v>
      </c>
    </row>
    <row r="433" spans="1:3" ht="193.2" hidden="1" outlineLevel="2">
      <c r="A433" s="88" t="s">
        <v>13</v>
      </c>
      <c r="B433" s="28" t="s">
        <v>400</v>
      </c>
      <c r="C433" s="28" t="s">
        <v>401</v>
      </c>
    </row>
    <row r="434" spans="1:3" ht="179.4" hidden="1" outlineLevel="2">
      <c r="A434" s="88" t="s">
        <v>14</v>
      </c>
      <c r="B434" s="28" t="s">
        <v>402</v>
      </c>
      <c r="C434" s="28" t="s">
        <v>403</v>
      </c>
    </row>
    <row r="435" spans="1:3" ht="193.2" hidden="1" outlineLevel="2">
      <c r="A435" s="88" t="s">
        <v>15</v>
      </c>
      <c r="B435" s="28" t="s">
        <v>404</v>
      </c>
      <c r="C435" s="28" t="s">
        <v>405</v>
      </c>
    </row>
    <row r="436" spans="1:3" ht="82.8" hidden="1" outlineLevel="2">
      <c r="A436" s="88" t="s">
        <v>18</v>
      </c>
      <c r="B436" s="48" t="s">
        <v>406</v>
      </c>
      <c r="C436" s="28" t="s">
        <v>407</v>
      </c>
    </row>
    <row r="437" spans="1:3" ht="27.6" hidden="1" outlineLevel="2">
      <c r="A437" s="89" t="s">
        <v>22</v>
      </c>
      <c r="B437" s="28" t="s">
        <v>408</v>
      </c>
      <c r="C437" s="28" t="s">
        <v>409</v>
      </c>
    </row>
    <row r="438" spans="1:3" ht="17.399999999999999" collapsed="1">
      <c r="A438" s="29" t="s">
        <v>416</v>
      </c>
      <c r="B438" s="68"/>
      <c r="C438" s="129"/>
    </row>
    <row r="439" spans="1:3" ht="14.4" hidden="1" outlineLevel="2">
      <c r="A439" s="87" t="s">
        <v>417</v>
      </c>
      <c r="B439" s="19"/>
      <c r="C439" s="19"/>
    </row>
    <row r="440" spans="1:3" ht="14.4" hidden="1" outlineLevel="2">
      <c r="A440" s="52" t="s">
        <v>5</v>
      </c>
      <c r="B440" s="24" t="s">
        <v>6</v>
      </c>
      <c r="C440" s="53" t="s">
        <v>7</v>
      </c>
    </row>
    <row r="441" spans="1:3" ht="69" hidden="1" outlineLevel="2">
      <c r="A441" s="88" t="s">
        <v>8</v>
      </c>
      <c r="B441" s="47" t="s">
        <v>396</v>
      </c>
      <c r="C441" s="28" t="s">
        <v>397</v>
      </c>
    </row>
    <row r="442" spans="1:3" ht="14.4" hidden="1" outlineLevel="2">
      <c r="A442" s="89" t="s">
        <v>11</v>
      </c>
      <c r="B442" s="54" t="s">
        <v>418</v>
      </c>
      <c r="C442" s="28" t="s">
        <v>399</v>
      </c>
    </row>
    <row r="443" spans="1:3" ht="276" hidden="1" outlineLevel="2">
      <c r="A443" s="89" t="s">
        <v>13</v>
      </c>
      <c r="B443" s="28" t="s">
        <v>400</v>
      </c>
      <c r="C443" s="28" t="s">
        <v>419</v>
      </c>
    </row>
    <row r="444" spans="1:3" ht="179.4" hidden="1" outlineLevel="2">
      <c r="A444" s="88" t="s">
        <v>14</v>
      </c>
      <c r="B444" s="28" t="s">
        <v>402</v>
      </c>
      <c r="C444" s="28" t="s">
        <v>403</v>
      </c>
    </row>
    <row r="445" spans="1:3" ht="193.2" hidden="1" outlineLevel="2">
      <c r="A445" s="88" t="s">
        <v>15</v>
      </c>
      <c r="B445" s="28" t="s">
        <v>404</v>
      </c>
      <c r="C445" s="28" t="s">
        <v>405</v>
      </c>
    </row>
    <row r="446" spans="1:3" ht="82.8" hidden="1" outlineLevel="2">
      <c r="A446" s="88" t="s">
        <v>18</v>
      </c>
      <c r="B446" s="48" t="s">
        <v>406</v>
      </c>
      <c r="C446" s="28" t="s">
        <v>407</v>
      </c>
    </row>
    <row r="447" spans="1:3" ht="27.6" hidden="1" outlineLevel="2">
      <c r="A447" s="89" t="s">
        <v>22</v>
      </c>
      <c r="B447" s="28" t="s">
        <v>408</v>
      </c>
      <c r="C447" s="28" t="s">
        <v>409</v>
      </c>
    </row>
    <row r="448" spans="1:3" ht="82.8" hidden="1" outlineLevel="2">
      <c r="A448" s="89" t="s">
        <v>29</v>
      </c>
      <c r="B448" s="28" t="s">
        <v>410</v>
      </c>
      <c r="C448" s="28" t="s">
        <v>411</v>
      </c>
    </row>
    <row r="449" spans="1:3" ht="17.399999999999999" collapsed="1">
      <c r="A449" s="22" t="s">
        <v>420</v>
      </c>
      <c r="B449" s="19"/>
      <c r="C449" s="19"/>
    </row>
    <row r="450" spans="1:3" ht="14.4" hidden="1" outlineLevel="2">
      <c r="A450" s="87" t="s">
        <v>421</v>
      </c>
      <c r="B450" s="19"/>
      <c r="C450" s="19"/>
    </row>
    <row r="451" spans="1:3" ht="14.4" hidden="1" outlineLevel="2">
      <c r="A451" s="52" t="s">
        <v>5</v>
      </c>
      <c r="B451" s="24" t="s">
        <v>6</v>
      </c>
      <c r="C451" s="53" t="s">
        <v>7</v>
      </c>
    </row>
    <row r="452" spans="1:3" ht="69" hidden="1" outlineLevel="2">
      <c r="A452" s="88" t="s">
        <v>8</v>
      </c>
      <c r="B452" s="47" t="s">
        <v>422</v>
      </c>
      <c r="C452" s="28" t="s">
        <v>397</v>
      </c>
    </row>
    <row r="453" spans="1:3" ht="14.4" hidden="1" outlineLevel="2">
      <c r="A453" s="88" t="s">
        <v>11</v>
      </c>
      <c r="B453" s="54" t="s">
        <v>423</v>
      </c>
      <c r="C453" s="28" t="s">
        <v>424</v>
      </c>
    </row>
    <row r="454" spans="1:3" ht="193.2" hidden="1" outlineLevel="2">
      <c r="A454" s="88" t="s">
        <v>13</v>
      </c>
      <c r="B454" s="28" t="s">
        <v>400</v>
      </c>
      <c r="C454" s="28" t="s">
        <v>425</v>
      </c>
    </row>
    <row r="455" spans="1:3" ht="27.6" hidden="1" outlineLevel="2">
      <c r="A455" s="88" t="s">
        <v>14</v>
      </c>
      <c r="B455" s="28" t="s">
        <v>402</v>
      </c>
      <c r="C455" s="28" t="s">
        <v>426</v>
      </c>
    </row>
    <row r="456" spans="1:3" ht="124.2" hidden="1" outlineLevel="2">
      <c r="A456" s="88" t="s">
        <v>15</v>
      </c>
      <c r="B456" s="28" t="s">
        <v>404</v>
      </c>
      <c r="C456" s="28" t="s">
        <v>427</v>
      </c>
    </row>
    <row r="457" spans="1:3" ht="82.8" hidden="1" outlineLevel="2">
      <c r="A457" s="88" t="s">
        <v>18</v>
      </c>
      <c r="B457" s="48" t="s">
        <v>406</v>
      </c>
      <c r="C457" s="28" t="s">
        <v>407</v>
      </c>
    </row>
    <row r="458" spans="1:3" ht="27.6" hidden="1" outlineLevel="2">
      <c r="A458" s="88" t="s">
        <v>20</v>
      </c>
      <c r="B458" s="28" t="s">
        <v>408</v>
      </c>
      <c r="C458" s="28" t="s">
        <v>409</v>
      </c>
    </row>
    <row r="459" spans="1:3" ht="27.6" hidden="1" outlineLevel="2">
      <c r="A459" s="88" t="s">
        <v>22</v>
      </c>
      <c r="B459" s="28" t="s">
        <v>410</v>
      </c>
      <c r="C459" s="28" t="s">
        <v>428</v>
      </c>
    </row>
    <row r="460" spans="1:3" ht="17.399999999999999" collapsed="1">
      <c r="A460" s="90" t="s">
        <v>429</v>
      </c>
      <c r="B460" s="19"/>
      <c r="C460" s="19"/>
    </row>
    <row r="461" spans="1:3" ht="14.4" hidden="1" outlineLevel="1">
      <c r="A461" s="87" t="s">
        <v>430</v>
      </c>
      <c r="B461" s="19"/>
      <c r="C461" s="19"/>
    </row>
    <row r="462" spans="1:3" ht="14.4" hidden="1" outlineLevel="1">
      <c r="A462" s="91" t="s">
        <v>5</v>
      </c>
      <c r="B462" s="35" t="s">
        <v>6</v>
      </c>
      <c r="C462" s="92" t="s">
        <v>7</v>
      </c>
    </row>
    <row r="463" spans="1:3" ht="69" hidden="1" outlineLevel="1">
      <c r="A463" s="88" t="s">
        <v>8</v>
      </c>
      <c r="B463" s="47" t="s">
        <v>422</v>
      </c>
      <c r="C463" s="28" t="s">
        <v>397</v>
      </c>
    </row>
    <row r="464" spans="1:3" ht="14.4" hidden="1" outlineLevel="1">
      <c r="A464" s="88" t="s">
        <v>11</v>
      </c>
      <c r="B464" s="93" t="s">
        <v>431</v>
      </c>
      <c r="C464" s="28" t="s">
        <v>399</v>
      </c>
    </row>
    <row r="465" spans="1:3" ht="41.4" hidden="1" outlineLevel="1">
      <c r="A465" s="88" t="s">
        <v>13</v>
      </c>
      <c r="B465" s="94" t="s">
        <v>432</v>
      </c>
      <c r="C465" s="37" t="s">
        <v>433</v>
      </c>
    </row>
    <row r="466" spans="1:3" ht="27.6" hidden="1" outlineLevel="1">
      <c r="A466" s="88" t="s">
        <v>14</v>
      </c>
      <c r="B466" s="28" t="s">
        <v>402</v>
      </c>
      <c r="C466" s="37" t="s">
        <v>434</v>
      </c>
    </row>
    <row r="467" spans="1:3" ht="124.2" hidden="1" outlineLevel="1">
      <c r="A467" s="88" t="s">
        <v>15</v>
      </c>
      <c r="B467" s="28" t="s">
        <v>404</v>
      </c>
      <c r="C467" s="37" t="s">
        <v>435</v>
      </c>
    </row>
    <row r="468" spans="1:3" ht="82.8" hidden="1" outlineLevel="1">
      <c r="A468" s="88" t="s">
        <v>18</v>
      </c>
      <c r="B468" s="95" t="s">
        <v>436</v>
      </c>
      <c r="C468" s="37" t="s">
        <v>437</v>
      </c>
    </row>
    <row r="469" spans="1:3" ht="27.6" hidden="1" outlineLevel="1">
      <c r="A469" s="88" t="s">
        <v>20</v>
      </c>
      <c r="B469" s="28" t="s">
        <v>408</v>
      </c>
      <c r="C469" s="28" t="s">
        <v>409</v>
      </c>
    </row>
    <row r="470" spans="1:3" ht="27.6" hidden="1" outlineLevel="1">
      <c r="A470" s="88" t="s">
        <v>22</v>
      </c>
      <c r="B470" s="37" t="s">
        <v>438</v>
      </c>
      <c r="C470" s="37" t="s">
        <v>428</v>
      </c>
    </row>
    <row r="471" spans="1:3" ht="17.399999999999999" collapsed="1">
      <c r="A471" s="90" t="s">
        <v>439</v>
      </c>
      <c r="B471" s="19"/>
      <c r="C471" s="19"/>
    </row>
    <row r="472" spans="1:3" ht="14.4" hidden="1" outlineLevel="2">
      <c r="A472" s="87" t="s">
        <v>440</v>
      </c>
      <c r="B472" s="19"/>
      <c r="C472" s="19"/>
    </row>
    <row r="473" spans="1:3" ht="14.4" hidden="1" outlineLevel="2">
      <c r="A473" s="91" t="s">
        <v>5</v>
      </c>
      <c r="B473" s="35" t="s">
        <v>6</v>
      </c>
      <c r="C473" s="92" t="s">
        <v>7</v>
      </c>
    </row>
    <row r="474" spans="1:3" ht="69" hidden="1" outlineLevel="2">
      <c r="A474" s="88" t="s">
        <v>8</v>
      </c>
      <c r="B474" s="47" t="s">
        <v>422</v>
      </c>
      <c r="C474" s="28" t="s">
        <v>397</v>
      </c>
    </row>
    <row r="475" spans="1:3" ht="14.4" hidden="1" outlineLevel="2">
      <c r="A475" s="88" t="s">
        <v>11</v>
      </c>
      <c r="B475" s="93" t="s">
        <v>441</v>
      </c>
      <c r="C475" s="28" t="s">
        <v>442</v>
      </c>
    </row>
    <row r="476" spans="1:3" ht="41.4" hidden="1" outlineLevel="2">
      <c r="A476" s="88" t="s">
        <v>13</v>
      </c>
      <c r="B476" s="94" t="s">
        <v>432</v>
      </c>
      <c r="C476" s="37" t="s">
        <v>433</v>
      </c>
    </row>
    <row r="477" spans="1:3" ht="69" hidden="1" outlineLevel="2">
      <c r="A477" s="88" t="s">
        <v>14</v>
      </c>
      <c r="B477" s="28" t="s">
        <v>443</v>
      </c>
      <c r="C477" s="37" t="s">
        <v>444</v>
      </c>
    </row>
    <row r="478" spans="1:3" ht="27.6" hidden="1" outlineLevel="2">
      <c r="A478" s="88" t="s">
        <v>15</v>
      </c>
      <c r="B478" s="28" t="s">
        <v>402</v>
      </c>
      <c r="C478" s="37" t="s">
        <v>434</v>
      </c>
    </row>
    <row r="479" spans="1:3" ht="179.4" hidden="1" outlineLevel="2">
      <c r="A479" s="88" t="s">
        <v>18</v>
      </c>
      <c r="B479" s="28" t="s">
        <v>404</v>
      </c>
      <c r="C479" s="37" t="s">
        <v>445</v>
      </c>
    </row>
    <row r="480" spans="1:3" ht="82.8" hidden="1" outlineLevel="2">
      <c r="A480" s="88" t="s">
        <v>20</v>
      </c>
      <c r="B480" s="95" t="s">
        <v>436</v>
      </c>
      <c r="C480" s="37" t="s">
        <v>437</v>
      </c>
    </row>
    <row r="481" spans="1:3" ht="27.6" hidden="1" outlineLevel="2">
      <c r="A481" s="88" t="s">
        <v>22</v>
      </c>
      <c r="B481" s="28" t="s">
        <v>408</v>
      </c>
      <c r="C481" s="28" t="s">
        <v>409</v>
      </c>
    </row>
    <row r="482" spans="1:3" ht="27.6" hidden="1" outlineLevel="2">
      <c r="A482" s="88" t="s">
        <v>29</v>
      </c>
      <c r="B482" s="37" t="s">
        <v>438</v>
      </c>
      <c r="C482" s="37" t="s">
        <v>428</v>
      </c>
    </row>
    <row r="483" spans="1:3" ht="17.399999999999999" collapsed="1">
      <c r="A483" s="90" t="s">
        <v>446</v>
      </c>
      <c r="B483" s="19"/>
      <c r="C483" s="19"/>
    </row>
    <row r="484" spans="1:3" ht="14.4" hidden="1" outlineLevel="1">
      <c r="A484" s="87" t="s">
        <v>447</v>
      </c>
      <c r="B484" s="19"/>
      <c r="C484" s="19"/>
    </row>
    <row r="485" spans="1:3" ht="14.4" hidden="1" outlineLevel="1">
      <c r="A485" s="91" t="s">
        <v>5</v>
      </c>
      <c r="B485" s="35" t="s">
        <v>6</v>
      </c>
      <c r="C485" s="92" t="s">
        <v>7</v>
      </c>
    </row>
    <row r="486" spans="1:3" ht="55.2" hidden="1" outlineLevel="1">
      <c r="A486" s="88" t="s">
        <v>8</v>
      </c>
      <c r="B486" s="47" t="s">
        <v>448</v>
      </c>
      <c r="C486" s="28" t="s">
        <v>449</v>
      </c>
    </row>
    <row r="487" spans="1:3" ht="14.4" hidden="1" outlineLevel="1">
      <c r="A487" s="88" t="s">
        <v>11</v>
      </c>
      <c r="B487" s="96" t="s">
        <v>450</v>
      </c>
      <c r="C487" s="28" t="s">
        <v>399</v>
      </c>
    </row>
    <row r="488" spans="1:3" ht="41.4" hidden="1" outlineLevel="1">
      <c r="A488" s="88" t="s">
        <v>13</v>
      </c>
      <c r="B488" s="94" t="s">
        <v>451</v>
      </c>
      <c r="C488" s="37" t="s">
        <v>433</v>
      </c>
    </row>
    <row r="489" spans="1:3" ht="27.6" hidden="1" outlineLevel="1">
      <c r="A489" s="88" t="s">
        <v>14</v>
      </c>
      <c r="B489" s="28" t="s">
        <v>402</v>
      </c>
      <c r="C489" s="37" t="s">
        <v>434</v>
      </c>
    </row>
    <row r="490" spans="1:3" ht="124.2" hidden="1" outlineLevel="1">
      <c r="A490" s="88" t="s">
        <v>15</v>
      </c>
      <c r="B490" s="28" t="s">
        <v>404</v>
      </c>
      <c r="C490" s="37" t="s">
        <v>435</v>
      </c>
    </row>
    <row r="491" spans="1:3" ht="82.8" hidden="1" outlineLevel="1">
      <c r="A491" s="88" t="s">
        <v>18</v>
      </c>
      <c r="B491" s="95" t="s">
        <v>436</v>
      </c>
      <c r="C491" s="37" t="s">
        <v>437</v>
      </c>
    </row>
    <row r="492" spans="1:3" ht="27.6" hidden="1" outlineLevel="1">
      <c r="A492" s="88" t="s">
        <v>20</v>
      </c>
      <c r="B492" s="28" t="s">
        <v>408</v>
      </c>
      <c r="C492" s="28" t="s">
        <v>409</v>
      </c>
    </row>
    <row r="493" spans="1:3" ht="27.6" hidden="1" outlineLevel="1">
      <c r="A493" s="88" t="s">
        <v>22</v>
      </c>
      <c r="B493" s="37" t="s">
        <v>438</v>
      </c>
      <c r="C493" s="37" t="s">
        <v>428</v>
      </c>
    </row>
    <row r="494" spans="1:3" ht="17.399999999999999" collapsed="1">
      <c r="A494" s="90" t="s">
        <v>452</v>
      </c>
      <c r="B494" s="19"/>
      <c r="C494" s="19"/>
    </row>
    <row r="495" spans="1:3" ht="14.4" hidden="1" outlineLevel="2">
      <c r="A495" s="87" t="s">
        <v>453</v>
      </c>
      <c r="B495" s="19"/>
      <c r="C495" s="19"/>
    </row>
    <row r="496" spans="1:3" ht="14.4" hidden="1" outlineLevel="2">
      <c r="A496" s="91" t="s">
        <v>5</v>
      </c>
      <c r="B496" s="35" t="s">
        <v>6</v>
      </c>
      <c r="C496" s="92" t="s">
        <v>7</v>
      </c>
    </row>
    <row r="497" spans="1:3" ht="55.2" hidden="1" outlineLevel="2">
      <c r="A497" s="88" t="s">
        <v>8</v>
      </c>
      <c r="B497" s="47" t="s">
        <v>454</v>
      </c>
      <c r="C497" s="28" t="s">
        <v>449</v>
      </c>
    </row>
    <row r="498" spans="1:3" ht="27.6" hidden="1" outlineLevel="2">
      <c r="A498" s="88" t="s">
        <v>11</v>
      </c>
      <c r="B498" s="96" t="s">
        <v>455</v>
      </c>
      <c r="C498" s="28" t="s">
        <v>424</v>
      </c>
    </row>
    <row r="499" spans="1:3" ht="41.4" hidden="1" outlineLevel="2">
      <c r="A499" s="88" t="s">
        <v>13</v>
      </c>
      <c r="B499" s="94" t="s">
        <v>456</v>
      </c>
      <c r="C499" s="37" t="s">
        <v>433</v>
      </c>
    </row>
    <row r="500" spans="1:3" ht="41.4" hidden="1" outlineLevel="2">
      <c r="A500" s="88" t="s">
        <v>14</v>
      </c>
      <c r="B500" s="94" t="s">
        <v>457</v>
      </c>
      <c r="C500" s="37" t="s">
        <v>433</v>
      </c>
    </row>
    <row r="501" spans="1:3" ht="69" hidden="1" outlineLevel="2">
      <c r="A501" s="88" t="s">
        <v>15</v>
      </c>
      <c r="B501" s="28" t="s">
        <v>443</v>
      </c>
      <c r="C501" s="37" t="s">
        <v>444</v>
      </c>
    </row>
    <row r="502" spans="1:3" ht="27.6" hidden="1" outlineLevel="2">
      <c r="A502" s="88" t="s">
        <v>18</v>
      </c>
      <c r="B502" s="28" t="s">
        <v>402</v>
      </c>
      <c r="C502" s="37" t="s">
        <v>434</v>
      </c>
    </row>
    <row r="503" spans="1:3" ht="124.2" hidden="1" outlineLevel="2">
      <c r="A503" s="88" t="s">
        <v>20</v>
      </c>
      <c r="B503" s="28" t="s">
        <v>404</v>
      </c>
      <c r="C503" s="37" t="s">
        <v>435</v>
      </c>
    </row>
    <row r="504" spans="1:3" ht="82.8" hidden="1" outlineLevel="2">
      <c r="A504" s="88" t="s">
        <v>22</v>
      </c>
      <c r="B504" s="95" t="s">
        <v>436</v>
      </c>
      <c r="C504" s="37" t="s">
        <v>437</v>
      </c>
    </row>
    <row r="505" spans="1:3" ht="27.6" hidden="1" outlineLevel="2">
      <c r="A505" s="88" t="s">
        <v>29</v>
      </c>
      <c r="B505" s="28" t="s">
        <v>408</v>
      </c>
      <c r="C505" s="28" t="s">
        <v>409</v>
      </c>
    </row>
    <row r="506" spans="1:3" ht="27.6" hidden="1" outlineLevel="2">
      <c r="A506" s="88" t="s">
        <v>32</v>
      </c>
      <c r="B506" s="37" t="s">
        <v>438</v>
      </c>
      <c r="C506" s="37" t="s">
        <v>428</v>
      </c>
    </row>
    <row r="507" spans="1:3" ht="17.399999999999999" collapsed="1">
      <c r="A507" s="90" t="s">
        <v>458</v>
      </c>
      <c r="B507" s="19"/>
      <c r="C507" s="19"/>
    </row>
    <row r="508" spans="1:3" ht="14.4" hidden="1" outlineLevel="1">
      <c r="A508" s="87" t="s">
        <v>459</v>
      </c>
      <c r="B508" s="19"/>
      <c r="C508" s="19"/>
    </row>
    <row r="509" spans="1:3" ht="14.4" hidden="1" outlineLevel="1">
      <c r="A509" s="91" t="s">
        <v>5</v>
      </c>
      <c r="B509" s="35" t="s">
        <v>6</v>
      </c>
      <c r="C509" s="92" t="s">
        <v>7</v>
      </c>
    </row>
    <row r="510" spans="1:3" ht="69" hidden="1" outlineLevel="1">
      <c r="A510" s="88" t="s">
        <v>8</v>
      </c>
      <c r="B510" s="47" t="s">
        <v>396</v>
      </c>
      <c r="C510" s="28" t="s">
        <v>397</v>
      </c>
    </row>
    <row r="511" spans="1:3" ht="14.4" hidden="1" outlineLevel="1">
      <c r="A511" s="88" t="s">
        <v>11</v>
      </c>
      <c r="B511" s="96" t="s">
        <v>460</v>
      </c>
      <c r="C511" s="28" t="s">
        <v>399</v>
      </c>
    </row>
    <row r="512" spans="1:3" ht="27.6" hidden="1" outlineLevel="1">
      <c r="A512" s="88" t="s">
        <v>13</v>
      </c>
      <c r="B512" s="97" t="s">
        <v>461</v>
      </c>
      <c r="C512" s="37" t="s">
        <v>462</v>
      </c>
    </row>
    <row r="513" spans="1:3" ht="124.2" hidden="1" outlineLevel="1">
      <c r="A513" s="88" t="s">
        <v>14</v>
      </c>
      <c r="B513" s="28" t="s">
        <v>404</v>
      </c>
      <c r="C513" s="37" t="s">
        <v>435</v>
      </c>
    </row>
    <row r="514" spans="1:3" ht="82.8" hidden="1" outlineLevel="1">
      <c r="A514" s="88" t="s">
        <v>15</v>
      </c>
      <c r="B514" s="95" t="s">
        <v>436</v>
      </c>
      <c r="C514" s="37" t="s">
        <v>437</v>
      </c>
    </row>
    <row r="515" spans="1:3" ht="27.6" hidden="1" outlineLevel="1">
      <c r="A515" s="88" t="s">
        <v>18</v>
      </c>
      <c r="B515" s="28" t="s">
        <v>408</v>
      </c>
      <c r="C515" s="28" t="s">
        <v>409</v>
      </c>
    </row>
    <row r="516" spans="1:3" ht="27.6" hidden="1" outlineLevel="1">
      <c r="A516" s="88" t="s">
        <v>20</v>
      </c>
      <c r="B516" s="37" t="s">
        <v>438</v>
      </c>
      <c r="C516" s="37" t="s">
        <v>428</v>
      </c>
    </row>
    <row r="517" spans="1:3" ht="21.6">
      <c r="A517" s="18" t="s">
        <v>47</v>
      </c>
      <c r="B517" s="19"/>
      <c r="C517" s="20"/>
    </row>
    <row r="518" spans="1:3" ht="17.399999999999999" collapsed="1">
      <c r="A518" s="98" t="s">
        <v>463</v>
      </c>
      <c r="B518" s="19"/>
      <c r="C518" s="19"/>
    </row>
    <row r="519" spans="1:3" ht="14.4" hidden="1" outlineLevel="1">
      <c r="A519" s="87" t="s">
        <v>464</v>
      </c>
      <c r="B519" s="19"/>
      <c r="C519" s="19"/>
    </row>
    <row r="520" spans="1:3" ht="14.4" hidden="1" outlineLevel="1">
      <c r="A520" s="34" t="s">
        <v>5</v>
      </c>
      <c r="B520" s="99" t="s">
        <v>6</v>
      </c>
      <c r="C520" s="127" t="s">
        <v>7</v>
      </c>
    </row>
    <row r="521" spans="1:3" ht="14.4" hidden="1" outlineLevel="1">
      <c r="A521" s="89" t="s">
        <v>8</v>
      </c>
      <c r="B521" s="28" t="s">
        <v>465</v>
      </c>
      <c r="C521" s="28" t="s">
        <v>466</v>
      </c>
    </row>
    <row r="522" spans="1:3" ht="14.4" hidden="1" outlineLevel="1">
      <c r="A522" s="89" t="s">
        <v>11</v>
      </c>
      <c r="B522" s="28" t="s">
        <v>467</v>
      </c>
      <c r="C522" s="28" t="s">
        <v>468</v>
      </c>
    </row>
    <row r="523" spans="1:3" ht="193.2" hidden="1" outlineLevel="1">
      <c r="A523" s="89" t="s">
        <v>13</v>
      </c>
      <c r="B523" s="28" t="s">
        <v>469</v>
      </c>
      <c r="C523" s="28" t="s">
        <v>470</v>
      </c>
    </row>
    <row r="524" spans="1:3" ht="151.80000000000001" hidden="1" outlineLevel="1">
      <c r="A524" s="89" t="s">
        <v>14</v>
      </c>
      <c r="B524" s="28" t="s">
        <v>471</v>
      </c>
      <c r="C524" s="28" t="s">
        <v>472</v>
      </c>
    </row>
    <row r="525" spans="1:3" ht="82.8" hidden="1" outlineLevel="1">
      <c r="A525" s="89" t="s">
        <v>15</v>
      </c>
      <c r="B525" s="28" t="s">
        <v>171</v>
      </c>
      <c r="C525" s="28" t="s">
        <v>473</v>
      </c>
    </row>
    <row r="526" spans="1:3" ht="17.399999999999999" collapsed="1">
      <c r="A526" s="98" t="s">
        <v>474</v>
      </c>
      <c r="B526" s="19"/>
      <c r="C526" s="19"/>
    </row>
    <row r="527" spans="1:3" ht="14.4" hidden="1" outlineLevel="1">
      <c r="A527" s="87" t="s">
        <v>475</v>
      </c>
      <c r="B527" s="19"/>
      <c r="C527" s="19"/>
    </row>
    <row r="528" spans="1:3" ht="14.4" hidden="1" outlineLevel="1">
      <c r="A528" s="34" t="s">
        <v>5</v>
      </c>
      <c r="B528" s="99" t="s">
        <v>6</v>
      </c>
      <c r="C528" s="127" t="s">
        <v>7</v>
      </c>
    </row>
    <row r="529" spans="1:3" ht="14.4" hidden="1" outlineLevel="1">
      <c r="A529" s="69" t="s">
        <v>8</v>
      </c>
      <c r="B529" s="26" t="s">
        <v>476</v>
      </c>
      <c r="C529" s="26" t="s">
        <v>468</v>
      </c>
    </row>
    <row r="530" spans="1:3" ht="129.6" hidden="1" outlineLevel="1">
      <c r="A530" s="69" t="s">
        <v>11</v>
      </c>
      <c r="B530" s="26" t="s">
        <v>477</v>
      </c>
      <c r="C530" s="26" t="s">
        <v>478</v>
      </c>
    </row>
    <row r="531" spans="1:3" ht="82.8" hidden="1" outlineLevel="1">
      <c r="A531" s="69" t="s">
        <v>13</v>
      </c>
      <c r="B531" s="28" t="s">
        <v>171</v>
      </c>
      <c r="C531" s="28" t="s">
        <v>473</v>
      </c>
    </row>
    <row r="532" spans="1:3" ht="17.399999999999999" collapsed="1">
      <c r="A532" s="33" t="s">
        <v>479</v>
      </c>
      <c r="B532" s="19"/>
      <c r="C532" s="19"/>
    </row>
    <row r="533" spans="1:3" ht="14.4" hidden="1" outlineLevel="1">
      <c r="A533" s="87" t="s">
        <v>480</v>
      </c>
      <c r="B533" s="19"/>
      <c r="C533" s="19"/>
    </row>
    <row r="534" spans="1:3" ht="14.4" hidden="1" outlineLevel="1">
      <c r="A534" s="34" t="s">
        <v>5</v>
      </c>
      <c r="B534" s="35" t="s">
        <v>6</v>
      </c>
      <c r="C534" s="127" t="s">
        <v>7</v>
      </c>
    </row>
    <row r="535" spans="1:3" ht="14.4" hidden="1" outlineLevel="1">
      <c r="A535" s="69" t="s">
        <v>8</v>
      </c>
      <c r="B535" s="26" t="s">
        <v>476</v>
      </c>
      <c r="C535" s="26" t="s">
        <v>468</v>
      </c>
    </row>
    <row r="536" spans="1:3" ht="57.6" hidden="1" outlineLevel="1">
      <c r="A536" s="69" t="s">
        <v>11</v>
      </c>
      <c r="B536" s="26" t="s">
        <v>481</v>
      </c>
      <c r="C536" s="26" t="s">
        <v>482</v>
      </c>
    </row>
    <row r="537" spans="1:3" ht="82.8" hidden="1" outlineLevel="1">
      <c r="A537" s="69" t="s">
        <v>13</v>
      </c>
      <c r="B537" s="28" t="s">
        <v>171</v>
      </c>
      <c r="C537" s="28" t="s">
        <v>473</v>
      </c>
    </row>
    <row r="538" spans="1:3" ht="17.399999999999999" collapsed="1">
      <c r="A538" s="33" t="s">
        <v>483</v>
      </c>
      <c r="B538" s="19"/>
      <c r="C538" s="19"/>
    </row>
    <row r="539" spans="1:3" ht="14.4" hidden="1" outlineLevel="1">
      <c r="A539" s="87" t="s">
        <v>484</v>
      </c>
      <c r="B539" s="19"/>
      <c r="C539" s="19"/>
    </row>
    <row r="540" spans="1:3" ht="14.4" hidden="1" outlineLevel="1">
      <c r="A540" s="34" t="s">
        <v>5</v>
      </c>
      <c r="B540" s="35" t="s">
        <v>6</v>
      </c>
      <c r="C540" s="127" t="s">
        <v>7</v>
      </c>
    </row>
    <row r="541" spans="1:3" ht="14.4" hidden="1" outlineLevel="1">
      <c r="A541" s="69" t="s">
        <v>8</v>
      </c>
      <c r="B541" s="26" t="s">
        <v>476</v>
      </c>
      <c r="C541" s="26" t="s">
        <v>468</v>
      </c>
    </row>
    <row r="542" spans="1:3" ht="27.6" hidden="1" outlineLevel="1">
      <c r="A542" s="69" t="s">
        <v>11</v>
      </c>
      <c r="B542" s="26" t="s">
        <v>485</v>
      </c>
      <c r="C542" s="28" t="s">
        <v>470</v>
      </c>
    </row>
    <row r="543" spans="1:3" ht="28.8" hidden="1" outlineLevel="1">
      <c r="A543" s="69" t="s">
        <v>13</v>
      </c>
      <c r="B543" s="26" t="s">
        <v>486</v>
      </c>
      <c r="C543" s="26" t="s">
        <v>487</v>
      </c>
    </row>
    <row r="544" spans="1:3" ht="82.8" hidden="1" outlineLevel="1">
      <c r="A544" s="69" t="s">
        <v>14</v>
      </c>
      <c r="B544" s="28" t="s">
        <v>171</v>
      </c>
      <c r="C544" s="28" t="s">
        <v>473</v>
      </c>
    </row>
    <row r="545" spans="1:3" ht="17.399999999999999" collapsed="1">
      <c r="A545" s="33" t="s">
        <v>488</v>
      </c>
      <c r="B545" s="19"/>
      <c r="C545" s="19"/>
    </row>
    <row r="546" spans="1:3" ht="14.4" hidden="1" outlineLevel="1">
      <c r="A546" s="34" t="s">
        <v>5</v>
      </c>
      <c r="B546" s="35" t="s">
        <v>6</v>
      </c>
      <c r="C546" s="127" t="s">
        <v>7</v>
      </c>
    </row>
    <row r="547" spans="1:3" ht="14.4" hidden="1" outlineLevel="1">
      <c r="A547" s="89" t="s">
        <v>8</v>
      </c>
      <c r="B547" s="28" t="s">
        <v>489</v>
      </c>
      <c r="C547" s="28" t="s">
        <v>490</v>
      </c>
    </row>
    <row r="548" spans="1:3" ht="27.6" hidden="1" outlineLevel="1">
      <c r="A548" s="89" t="s">
        <v>11</v>
      </c>
      <c r="B548" s="28" t="s">
        <v>491</v>
      </c>
      <c r="C548" s="28" t="s">
        <v>492</v>
      </c>
    </row>
    <row r="549" spans="1:3" ht="27.6" hidden="1" outlineLevel="1">
      <c r="A549" s="89" t="s">
        <v>13</v>
      </c>
      <c r="B549" s="28" t="s">
        <v>493</v>
      </c>
      <c r="C549" s="28" t="s">
        <v>494</v>
      </c>
    </row>
    <row r="550" spans="1:3" ht="14.4" hidden="1" outlineLevel="1">
      <c r="A550" s="89" t="s">
        <v>14</v>
      </c>
      <c r="B550" s="28" t="s">
        <v>495</v>
      </c>
      <c r="C550" s="28" t="s">
        <v>496</v>
      </c>
    </row>
    <row r="551" spans="1:3" ht="27.6" hidden="1" outlineLevel="1">
      <c r="A551" s="89" t="s">
        <v>15</v>
      </c>
      <c r="B551" s="28" t="s">
        <v>497</v>
      </c>
      <c r="C551" s="28" t="s">
        <v>498</v>
      </c>
    </row>
    <row r="552" spans="1:3" ht="21.6">
      <c r="A552" s="100" t="s">
        <v>46</v>
      </c>
      <c r="B552" s="101"/>
      <c r="C552" s="101"/>
    </row>
    <row r="553" spans="1:3" ht="18" collapsed="1">
      <c r="A553" s="102" t="s">
        <v>499</v>
      </c>
      <c r="B553" s="19"/>
      <c r="C553" s="19"/>
    </row>
    <row r="554" spans="1:3" ht="14.4" hidden="1" outlineLevel="1">
      <c r="A554" s="103" t="s">
        <v>500</v>
      </c>
      <c r="B554" s="19"/>
      <c r="C554" s="19"/>
    </row>
    <row r="555" spans="1:3" ht="14.4" hidden="1" outlineLevel="1">
      <c r="A555" s="104" t="s">
        <v>5</v>
      </c>
      <c r="B555" s="105" t="s">
        <v>6</v>
      </c>
      <c r="C555" s="106" t="s">
        <v>7</v>
      </c>
    </row>
    <row r="556" spans="1:3" ht="26.4" hidden="1" outlineLevel="1">
      <c r="A556" s="107" t="s">
        <v>8</v>
      </c>
      <c r="B556" s="108" t="s">
        <v>501</v>
      </c>
      <c r="C556" s="108" t="s">
        <v>502</v>
      </c>
    </row>
    <row r="557" spans="1:3" ht="26.4" hidden="1" outlineLevel="1">
      <c r="A557" s="107" t="s">
        <v>11</v>
      </c>
      <c r="B557" s="108" t="s">
        <v>503</v>
      </c>
      <c r="C557" s="108" t="s">
        <v>504</v>
      </c>
    </row>
    <row r="558" spans="1:3" ht="39.6" hidden="1" outlineLevel="1">
      <c r="A558" s="107" t="s">
        <v>13</v>
      </c>
      <c r="B558" s="108" t="s">
        <v>505</v>
      </c>
      <c r="C558" s="108" t="s">
        <v>506</v>
      </c>
    </row>
    <row r="559" spans="1:3" ht="26.4" hidden="1" outlineLevel="1">
      <c r="A559" s="107" t="s">
        <v>14</v>
      </c>
      <c r="B559" s="109" t="s">
        <v>507</v>
      </c>
      <c r="C559" s="108" t="s">
        <v>508</v>
      </c>
    </row>
    <row r="560" spans="1:3" ht="14.4" hidden="1" outlineLevel="1">
      <c r="A560" s="107" t="s">
        <v>15</v>
      </c>
      <c r="B560" s="110" t="s">
        <v>509</v>
      </c>
      <c r="C560" s="116" t="s">
        <v>506</v>
      </c>
    </row>
    <row r="561" spans="1:3" ht="66" hidden="1" outlineLevel="1">
      <c r="A561" s="107" t="s">
        <v>18</v>
      </c>
      <c r="B561" s="110" t="s">
        <v>510</v>
      </c>
      <c r="C561" s="108" t="s">
        <v>511</v>
      </c>
    </row>
    <row r="562" spans="1:3" ht="18" collapsed="1">
      <c r="A562" s="102" t="s">
        <v>512</v>
      </c>
      <c r="B562" s="19"/>
      <c r="C562" s="19"/>
    </row>
    <row r="563" spans="1:3" ht="14.4" hidden="1" outlineLevel="1">
      <c r="A563" s="103" t="s">
        <v>513</v>
      </c>
      <c r="B563" s="19"/>
      <c r="C563" s="19"/>
    </row>
    <row r="564" spans="1:3" ht="14.4" hidden="1" outlineLevel="1">
      <c r="A564" s="104" t="s">
        <v>5</v>
      </c>
      <c r="B564" s="105" t="s">
        <v>6</v>
      </c>
      <c r="C564" s="106" t="s">
        <v>7</v>
      </c>
    </row>
    <row r="565" spans="1:3" ht="26.4" hidden="1" outlineLevel="1">
      <c r="A565" s="107" t="s">
        <v>8</v>
      </c>
      <c r="B565" s="108" t="s">
        <v>514</v>
      </c>
      <c r="C565" s="108" t="s">
        <v>515</v>
      </c>
    </row>
    <row r="566" spans="1:3" ht="26.4" hidden="1" outlineLevel="1">
      <c r="A566" s="107" t="s">
        <v>11</v>
      </c>
      <c r="B566" s="108" t="s">
        <v>516</v>
      </c>
      <c r="C566" s="108" t="s">
        <v>517</v>
      </c>
    </row>
    <row r="567" spans="1:3" ht="26.4" hidden="1" outlineLevel="1">
      <c r="A567" s="107" t="s">
        <v>13</v>
      </c>
      <c r="B567" s="108" t="s">
        <v>518</v>
      </c>
      <c r="C567" s="111" t="s">
        <v>519</v>
      </c>
    </row>
    <row r="568" spans="1:3" ht="39.6" hidden="1" outlineLevel="1">
      <c r="A568" s="107" t="s">
        <v>14</v>
      </c>
      <c r="B568" s="108" t="s">
        <v>520</v>
      </c>
      <c r="C568" s="108" t="s">
        <v>506</v>
      </c>
    </row>
    <row r="569" spans="1:3" ht="26.4" hidden="1" outlineLevel="1">
      <c r="A569" s="107" t="s">
        <v>15</v>
      </c>
      <c r="B569" s="109" t="s">
        <v>521</v>
      </c>
      <c r="C569" s="108" t="s">
        <v>522</v>
      </c>
    </row>
    <row r="570" spans="1:3" ht="14.4" hidden="1" outlineLevel="1">
      <c r="A570" s="107" t="s">
        <v>18</v>
      </c>
      <c r="B570" s="110" t="s">
        <v>523</v>
      </c>
      <c r="C570" s="116" t="s">
        <v>506</v>
      </c>
    </row>
    <row r="571" spans="1:3" ht="26.4" hidden="1" outlineLevel="1">
      <c r="A571" s="107" t="s">
        <v>20</v>
      </c>
      <c r="B571" s="110" t="s">
        <v>524</v>
      </c>
      <c r="C571" s="108" t="s">
        <v>525</v>
      </c>
    </row>
    <row r="572" spans="1:3" s="147" customFormat="1" ht="37.200000000000003" customHeight="1" collapsed="1">
      <c r="A572" s="148" t="s">
        <v>526</v>
      </c>
      <c r="B572" s="132"/>
      <c r="C572" s="132"/>
    </row>
    <row r="573" spans="1:3" ht="14.4" hidden="1" outlineLevel="1">
      <c r="A573" s="113" t="s">
        <v>527</v>
      </c>
      <c r="B573" s="19"/>
      <c r="C573" s="19"/>
    </row>
    <row r="574" spans="1:3" ht="14.4" hidden="1" outlineLevel="1">
      <c r="A574" s="106" t="s">
        <v>5</v>
      </c>
      <c r="B574" s="105" t="s">
        <v>6</v>
      </c>
      <c r="C574" s="106" t="s">
        <v>7</v>
      </c>
    </row>
    <row r="575" spans="1:3" ht="26.4" hidden="1" outlineLevel="1">
      <c r="A575" s="114" t="s">
        <v>8</v>
      </c>
      <c r="B575" s="108" t="s">
        <v>501</v>
      </c>
      <c r="C575" s="108" t="s">
        <v>502</v>
      </c>
    </row>
    <row r="576" spans="1:3" ht="39.6" hidden="1" outlineLevel="1">
      <c r="A576" s="114" t="s">
        <v>11</v>
      </c>
      <c r="B576" s="108" t="s">
        <v>528</v>
      </c>
      <c r="C576" s="108" t="s">
        <v>529</v>
      </c>
    </row>
    <row r="577" spans="1:3" ht="26.4" hidden="1" outlineLevel="1">
      <c r="A577" s="114" t="s">
        <v>13</v>
      </c>
      <c r="B577" s="115" t="s">
        <v>530</v>
      </c>
      <c r="C577" s="111" t="s">
        <v>531</v>
      </c>
    </row>
    <row r="578" spans="1:3" ht="39.6" hidden="1" outlineLevel="1">
      <c r="A578" s="114" t="s">
        <v>14</v>
      </c>
      <c r="B578" s="108" t="s">
        <v>520</v>
      </c>
      <c r="C578" s="108" t="s">
        <v>506</v>
      </c>
    </row>
    <row r="579" spans="1:3" ht="26.4" hidden="1" outlineLevel="1">
      <c r="A579" s="114" t="s">
        <v>15</v>
      </c>
      <c r="B579" s="109" t="s">
        <v>521</v>
      </c>
      <c r="C579" s="108" t="s">
        <v>522</v>
      </c>
    </row>
    <row r="580" spans="1:3" ht="14.4" hidden="1" outlineLevel="1">
      <c r="A580" s="114" t="s">
        <v>18</v>
      </c>
      <c r="B580" s="108" t="s">
        <v>523</v>
      </c>
      <c r="C580" s="116" t="s">
        <v>532</v>
      </c>
    </row>
    <row r="581" spans="1:3" ht="39.6" hidden="1" outlineLevel="1">
      <c r="A581" s="114" t="s">
        <v>20</v>
      </c>
      <c r="B581" s="108" t="s">
        <v>510</v>
      </c>
      <c r="C581" s="108" t="s">
        <v>533</v>
      </c>
    </row>
    <row r="582" spans="1:3" s="147" customFormat="1" ht="34.799999999999997" customHeight="1" collapsed="1">
      <c r="A582" s="148" t="s">
        <v>534</v>
      </c>
      <c r="B582" s="131"/>
      <c r="C582" s="131"/>
    </row>
    <row r="583" spans="1:3" ht="14.4" hidden="1" outlineLevel="1">
      <c r="A583" s="113" t="s">
        <v>527</v>
      </c>
      <c r="B583" s="19"/>
      <c r="C583" s="19"/>
    </row>
    <row r="584" spans="1:3" ht="14.4" hidden="1" outlineLevel="1">
      <c r="A584" s="106" t="s">
        <v>5</v>
      </c>
      <c r="B584" s="105" t="s">
        <v>6</v>
      </c>
      <c r="C584" s="106" t="s">
        <v>7</v>
      </c>
    </row>
    <row r="585" spans="1:3" ht="26.4" hidden="1" outlineLevel="1">
      <c r="A585" s="114" t="s">
        <v>8</v>
      </c>
      <c r="B585" s="108" t="s">
        <v>501</v>
      </c>
      <c r="C585" s="108" t="s">
        <v>502</v>
      </c>
    </row>
    <row r="586" spans="1:3" ht="39.6" hidden="1" outlineLevel="1">
      <c r="A586" s="114" t="s">
        <v>11</v>
      </c>
      <c r="B586" s="108" t="s">
        <v>528</v>
      </c>
      <c r="C586" s="108" t="s">
        <v>529</v>
      </c>
    </row>
    <row r="587" spans="1:3" ht="26.4" hidden="1" outlineLevel="1">
      <c r="A587" s="114" t="s">
        <v>13</v>
      </c>
      <c r="B587" s="108" t="s">
        <v>535</v>
      </c>
      <c r="C587" s="111" t="s">
        <v>531</v>
      </c>
    </row>
    <row r="588" spans="1:3" ht="39.6" hidden="1" outlineLevel="1">
      <c r="A588" s="114" t="s">
        <v>14</v>
      </c>
      <c r="B588" s="108" t="s">
        <v>520</v>
      </c>
      <c r="C588" s="108" t="s">
        <v>506</v>
      </c>
    </row>
    <row r="589" spans="1:3" ht="26.4" hidden="1" outlineLevel="1">
      <c r="A589" s="114" t="s">
        <v>15</v>
      </c>
      <c r="B589" s="109" t="s">
        <v>521</v>
      </c>
      <c r="C589" s="108" t="s">
        <v>522</v>
      </c>
    </row>
    <row r="590" spans="1:3" ht="14.4" hidden="1" outlineLevel="1">
      <c r="A590" s="114" t="s">
        <v>18</v>
      </c>
      <c r="B590" s="108" t="s">
        <v>536</v>
      </c>
      <c r="C590" s="116" t="s">
        <v>532</v>
      </c>
    </row>
    <row r="591" spans="1:3" ht="17.399999999999999" hidden="1" outlineLevel="1">
      <c r="A591" s="114" t="s">
        <v>20</v>
      </c>
      <c r="B591" s="108" t="s">
        <v>510</v>
      </c>
      <c r="C591" s="108" t="s">
        <v>537</v>
      </c>
    </row>
    <row r="592" spans="1:3" ht="14.4" collapsed="1">
      <c r="A592" s="112" t="s">
        <v>538</v>
      </c>
      <c r="B592" s="19"/>
      <c r="C592" s="19"/>
    </row>
    <row r="593" spans="1:3" ht="14.4" hidden="1" outlineLevel="1">
      <c r="A593" s="113" t="s">
        <v>539</v>
      </c>
      <c r="B593" s="19"/>
      <c r="C593" s="19"/>
    </row>
    <row r="594" spans="1:3" ht="14.4" hidden="1" outlineLevel="1">
      <c r="A594" s="106" t="s">
        <v>5</v>
      </c>
      <c r="B594" s="105" t="s">
        <v>6</v>
      </c>
      <c r="C594" s="106" t="s">
        <v>7</v>
      </c>
    </row>
    <row r="595" spans="1:3" ht="26.4" hidden="1" outlineLevel="1">
      <c r="A595" s="114" t="s">
        <v>8</v>
      </c>
      <c r="B595" s="108" t="s">
        <v>501</v>
      </c>
      <c r="C595" s="108" t="s">
        <v>502</v>
      </c>
    </row>
    <row r="596" spans="1:3" ht="39.6" hidden="1" outlineLevel="1">
      <c r="A596" s="114" t="s">
        <v>11</v>
      </c>
      <c r="B596" s="108" t="s">
        <v>540</v>
      </c>
      <c r="C596" s="108" t="s">
        <v>529</v>
      </c>
    </row>
    <row r="597" spans="1:3" ht="26.4" hidden="1" outlineLevel="1">
      <c r="A597" s="114" t="s">
        <v>13</v>
      </c>
      <c r="B597" s="108" t="s">
        <v>541</v>
      </c>
      <c r="C597" s="111" t="s">
        <v>542</v>
      </c>
    </row>
    <row r="598" spans="1:3" ht="39.6" hidden="1" outlineLevel="1">
      <c r="A598" s="114" t="s">
        <v>14</v>
      </c>
      <c r="B598" s="108" t="s">
        <v>520</v>
      </c>
      <c r="C598" s="108" t="s">
        <v>506</v>
      </c>
    </row>
    <row r="599" spans="1:3" ht="26.4" hidden="1" outlineLevel="1">
      <c r="A599" s="114" t="s">
        <v>15</v>
      </c>
      <c r="B599" s="109" t="s">
        <v>521</v>
      </c>
      <c r="C599" s="108" t="s">
        <v>522</v>
      </c>
    </row>
    <row r="600" spans="1:3" ht="14.4" hidden="1" outlineLevel="1">
      <c r="A600" s="114" t="s">
        <v>18</v>
      </c>
      <c r="B600" s="108" t="s">
        <v>523</v>
      </c>
      <c r="C600" s="116" t="s">
        <v>543</v>
      </c>
    </row>
    <row r="601" spans="1:3" ht="66" hidden="1" outlineLevel="1">
      <c r="A601" s="114" t="s">
        <v>20</v>
      </c>
      <c r="B601" s="108" t="s">
        <v>510</v>
      </c>
      <c r="C601" s="108" t="s">
        <v>544</v>
      </c>
    </row>
    <row r="602" spans="1:3" ht="14.4" collapsed="1">
      <c r="A602" s="112" t="s">
        <v>545</v>
      </c>
      <c r="B602" s="19"/>
      <c r="C602" s="19"/>
    </row>
    <row r="603" spans="1:3" ht="14.4" hidden="1" outlineLevel="1">
      <c r="A603" s="113" t="s">
        <v>546</v>
      </c>
      <c r="B603" s="19"/>
      <c r="C603" s="19"/>
    </row>
    <row r="604" spans="1:3" ht="14.4" hidden="1" outlineLevel="1">
      <c r="A604" s="106" t="s">
        <v>5</v>
      </c>
      <c r="B604" s="105" t="s">
        <v>6</v>
      </c>
      <c r="C604" s="106" t="s">
        <v>7</v>
      </c>
    </row>
    <row r="605" spans="1:3" ht="26.4" hidden="1" outlineLevel="1">
      <c r="A605" s="114" t="s">
        <v>8</v>
      </c>
      <c r="B605" s="108" t="s">
        <v>501</v>
      </c>
      <c r="C605" s="108" t="s">
        <v>502</v>
      </c>
    </row>
    <row r="606" spans="1:3" ht="66" hidden="1" outlineLevel="1">
      <c r="A606" s="114" t="s">
        <v>11</v>
      </c>
      <c r="B606" s="108" t="s">
        <v>547</v>
      </c>
      <c r="C606" s="108" t="s">
        <v>548</v>
      </c>
    </row>
    <row r="607" spans="1:3" ht="39.6" hidden="1" outlineLevel="1">
      <c r="A607" s="114" t="s">
        <v>13</v>
      </c>
      <c r="B607" s="108" t="s">
        <v>505</v>
      </c>
      <c r="C607" s="108" t="s">
        <v>506</v>
      </c>
    </row>
    <row r="608" spans="1:3" ht="14.4" hidden="1" outlineLevel="1">
      <c r="A608" s="114" t="s">
        <v>14</v>
      </c>
      <c r="B608" s="108" t="s">
        <v>523</v>
      </c>
      <c r="C608" s="116" t="s">
        <v>543</v>
      </c>
    </row>
    <row r="609" spans="1:3" ht="14.4" hidden="1" outlineLevel="1">
      <c r="A609" s="114" t="s">
        <v>15</v>
      </c>
      <c r="B609" s="109" t="s">
        <v>549</v>
      </c>
      <c r="C609" s="108" t="s">
        <v>550</v>
      </c>
    </row>
    <row r="610" spans="1:3" ht="66" hidden="1" outlineLevel="1">
      <c r="A610" s="114" t="s">
        <v>18</v>
      </c>
      <c r="B610" s="108" t="s">
        <v>510</v>
      </c>
      <c r="C610" s="108" t="s">
        <v>551</v>
      </c>
    </row>
    <row r="611" spans="1:3" ht="21.6">
      <c r="A611" s="100" t="s">
        <v>105</v>
      </c>
      <c r="B611" s="101"/>
      <c r="C611" s="101"/>
    </row>
    <row r="612" spans="1:3" ht="17.399999999999999" collapsed="1">
      <c r="A612" s="33" t="s">
        <v>552</v>
      </c>
      <c r="B612" s="19"/>
      <c r="C612" s="19"/>
    </row>
    <row r="613" spans="1:3" ht="14.4" hidden="1" outlineLevel="1">
      <c r="A613" s="34" t="s">
        <v>5</v>
      </c>
      <c r="B613" s="35" t="s">
        <v>6</v>
      </c>
      <c r="C613" s="127" t="s">
        <v>7</v>
      </c>
    </row>
    <row r="614" spans="1:3" ht="14.4" hidden="1" outlineLevel="1">
      <c r="A614" s="89" t="s">
        <v>8</v>
      </c>
      <c r="B614" s="28" t="s">
        <v>553</v>
      </c>
      <c r="C614" s="28" t="s">
        <v>554</v>
      </c>
    </row>
    <row r="615" spans="1:3" ht="14.4" hidden="1" outlineLevel="1">
      <c r="A615" s="38" t="s">
        <v>555</v>
      </c>
      <c r="B615" s="37" t="s">
        <v>556</v>
      </c>
      <c r="C615" s="37" t="s">
        <v>557</v>
      </c>
    </row>
    <row r="616" spans="1:3" ht="41.4" hidden="1" outlineLevel="1">
      <c r="A616" s="38" t="s">
        <v>13</v>
      </c>
      <c r="B616" s="37" t="s">
        <v>558</v>
      </c>
      <c r="C616" s="37" t="s">
        <v>559</v>
      </c>
    </row>
    <row r="617" spans="1:3" ht="138" hidden="1" outlineLevel="1">
      <c r="A617" s="38" t="s">
        <v>14</v>
      </c>
      <c r="B617" s="37" t="s">
        <v>560</v>
      </c>
      <c r="C617" s="37" t="s">
        <v>561</v>
      </c>
    </row>
    <row r="618" spans="1:3" ht="17.399999999999999" collapsed="1">
      <c r="A618" s="33" t="s">
        <v>562</v>
      </c>
      <c r="B618" s="19"/>
      <c r="C618" s="19"/>
    </row>
    <row r="619" spans="1:3" ht="14.4" hidden="1" outlineLevel="1">
      <c r="A619" s="34" t="s">
        <v>5</v>
      </c>
      <c r="B619" s="35" t="s">
        <v>6</v>
      </c>
      <c r="C619" s="127" t="s">
        <v>7</v>
      </c>
    </row>
    <row r="620" spans="1:3" ht="14.4" hidden="1" outlineLevel="1">
      <c r="A620" s="69" t="s">
        <v>8</v>
      </c>
      <c r="B620" s="26" t="s">
        <v>563</v>
      </c>
      <c r="C620" s="26" t="s">
        <v>564</v>
      </c>
    </row>
    <row r="621" spans="1:3" ht="14.4" hidden="1" outlineLevel="1">
      <c r="A621" s="69" t="s">
        <v>11</v>
      </c>
      <c r="B621" s="117" t="s">
        <v>565</v>
      </c>
      <c r="C621" s="117" t="s">
        <v>566</v>
      </c>
    </row>
    <row r="622" spans="1:3" ht="14.4" hidden="1" outlineLevel="1">
      <c r="A622" s="69" t="s">
        <v>13</v>
      </c>
      <c r="B622" s="117" t="s">
        <v>567</v>
      </c>
      <c r="C622" s="117" t="s">
        <v>568</v>
      </c>
    </row>
    <row r="623" spans="1:3" ht="28.8" hidden="1" outlineLevel="1">
      <c r="A623" s="69" t="s">
        <v>14</v>
      </c>
      <c r="B623" s="117" t="s">
        <v>569</v>
      </c>
      <c r="C623" s="117" t="s">
        <v>570</v>
      </c>
    </row>
    <row r="624" spans="1:3" ht="100.8" hidden="1" outlineLevel="1">
      <c r="A624" s="69" t="s">
        <v>15</v>
      </c>
      <c r="B624" s="117" t="s">
        <v>571</v>
      </c>
      <c r="C624" s="117" t="s">
        <v>572</v>
      </c>
    </row>
    <row r="625" spans="1:3" ht="28.8" hidden="1" outlineLevel="1">
      <c r="A625" s="69" t="s">
        <v>18</v>
      </c>
      <c r="B625" s="117" t="s">
        <v>573</v>
      </c>
      <c r="C625" s="117" t="s">
        <v>574</v>
      </c>
    </row>
    <row r="626" spans="1:3" ht="28.8" hidden="1" outlineLevel="1">
      <c r="A626" s="69" t="s">
        <v>20</v>
      </c>
      <c r="B626" s="117" t="s">
        <v>575</v>
      </c>
      <c r="C626" s="117" t="s">
        <v>574</v>
      </c>
    </row>
    <row r="627" spans="1:3" ht="43.2" hidden="1" outlineLevel="1">
      <c r="A627" s="69" t="s">
        <v>22</v>
      </c>
      <c r="B627" s="117" t="s">
        <v>576</v>
      </c>
      <c r="C627" s="117" t="s">
        <v>577</v>
      </c>
    </row>
    <row r="628" spans="1:3" ht="14.4" hidden="1" outlineLevel="1">
      <c r="A628" s="69" t="s">
        <v>29</v>
      </c>
      <c r="B628" s="117" t="s">
        <v>578</v>
      </c>
      <c r="C628" s="26" t="s">
        <v>564</v>
      </c>
    </row>
    <row r="629" spans="1:3" ht="14.4" hidden="1" outlineLevel="1">
      <c r="A629" s="69" t="s">
        <v>32</v>
      </c>
      <c r="B629" s="117" t="s">
        <v>579</v>
      </c>
      <c r="C629" s="26" t="s">
        <v>580</v>
      </c>
    </row>
    <row r="630" spans="1:3" ht="17.399999999999999" hidden="1" outlineLevel="1">
      <c r="A630" s="118" t="s">
        <v>581</v>
      </c>
      <c r="B630" s="19"/>
      <c r="C630" s="19"/>
    </row>
    <row r="631" spans="1:3" ht="14.4" hidden="1" outlineLevel="1">
      <c r="A631" s="34" t="s">
        <v>5</v>
      </c>
      <c r="B631" s="35" t="s">
        <v>6</v>
      </c>
      <c r="C631" s="127" t="s">
        <v>7</v>
      </c>
    </row>
    <row r="632" spans="1:3" ht="14.4" hidden="1" outlineLevel="1">
      <c r="A632" s="119" t="s">
        <v>8</v>
      </c>
      <c r="B632" s="120" t="s">
        <v>582</v>
      </c>
      <c r="C632" s="120" t="s">
        <v>564</v>
      </c>
    </row>
    <row r="633" spans="1:3" ht="14.4" hidden="1" outlineLevel="1">
      <c r="A633" s="121" t="s">
        <v>555</v>
      </c>
      <c r="B633" s="117" t="s">
        <v>583</v>
      </c>
      <c r="C633" s="117" t="s">
        <v>584</v>
      </c>
    </row>
    <row r="634" spans="1:3" ht="14.4" hidden="1" outlineLevel="1">
      <c r="A634" s="121" t="s">
        <v>13</v>
      </c>
      <c r="B634" s="117" t="s">
        <v>585</v>
      </c>
      <c r="C634" s="117" t="s">
        <v>586</v>
      </c>
    </row>
    <row r="635" spans="1:3" ht="28.8" hidden="1" outlineLevel="1">
      <c r="A635" s="121" t="s">
        <v>14</v>
      </c>
      <c r="B635" s="117" t="s">
        <v>587</v>
      </c>
      <c r="C635" s="117" t="s">
        <v>588</v>
      </c>
    </row>
    <row r="636" spans="1:3" ht="43.2" hidden="1" outlineLevel="1">
      <c r="A636" s="121" t="s">
        <v>15</v>
      </c>
      <c r="B636" s="117" t="s">
        <v>589</v>
      </c>
      <c r="C636" s="117" t="s">
        <v>590</v>
      </c>
    </row>
    <row r="637" spans="1:3" ht="43.2" hidden="1" outlineLevel="1">
      <c r="A637" s="122" t="s">
        <v>18</v>
      </c>
      <c r="B637" s="117" t="s">
        <v>591</v>
      </c>
      <c r="C637" s="123" t="s">
        <v>592</v>
      </c>
    </row>
  </sheetData>
  <mergeCells count="73">
    <mergeCell ref="A630:C630"/>
    <mergeCell ref="A593:C593"/>
    <mergeCell ref="A602:C602"/>
    <mergeCell ref="A603:C603"/>
    <mergeCell ref="A611:C611"/>
    <mergeCell ref="A612:C612"/>
    <mergeCell ref="A618:C618"/>
    <mergeCell ref="A563:C563"/>
    <mergeCell ref="A572:C572"/>
    <mergeCell ref="A573:C573"/>
    <mergeCell ref="A582:C582"/>
    <mergeCell ref="A583:C583"/>
    <mergeCell ref="A592:C592"/>
    <mergeCell ref="A539:C539"/>
    <mergeCell ref="A545:C545"/>
    <mergeCell ref="A552:C552"/>
    <mergeCell ref="A553:C553"/>
    <mergeCell ref="A554:C554"/>
    <mergeCell ref="A562:C562"/>
    <mergeCell ref="A519:C519"/>
    <mergeCell ref="A526:C526"/>
    <mergeCell ref="A527:C527"/>
    <mergeCell ref="A532:C532"/>
    <mergeCell ref="A533:C533"/>
    <mergeCell ref="A538:C538"/>
    <mergeCell ref="A494:C494"/>
    <mergeCell ref="A495:C495"/>
    <mergeCell ref="A507:C507"/>
    <mergeCell ref="A508:C508"/>
    <mergeCell ref="A517:C517"/>
    <mergeCell ref="A518:C518"/>
    <mergeCell ref="A460:C460"/>
    <mergeCell ref="A461:C461"/>
    <mergeCell ref="A471:C471"/>
    <mergeCell ref="A472:C472"/>
    <mergeCell ref="A483:C483"/>
    <mergeCell ref="A484:C484"/>
    <mergeCell ref="A416:C416"/>
    <mergeCell ref="A418:C418"/>
    <mergeCell ref="A429:C429"/>
    <mergeCell ref="A439:C439"/>
    <mergeCell ref="A449:C449"/>
    <mergeCell ref="A450:C450"/>
    <mergeCell ref="A391:A392"/>
    <mergeCell ref="B391:B392"/>
    <mergeCell ref="A395:A398"/>
    <mergeCell ref="B395:B398"/>
    <mergeCell ref="A412:A415"/>
    <mergeCell ref="B412:B415"/>
    <mergeCell ref="A343:A346"/>
    <mergeCell ref="A350:A354"/>
    <mergeCell ref="B350:B354"/>
    <mergeCell ref="A365:C365"/>
    <mergeCell ref="A368:A370"/>
    <mergeCell ref="A380:A385"/>
    <mergeCell ref="A302:C302"/>
    <mergeCell ref="A311:C311"/>
    <mergeCell ref="A325:C325"/>
    <mergeCell ref="A329:A332"/>
    <mergeCell ref="A336:A339"/>
    <mergeCell ref="B336:B339"/>
    <mergeCell ref="A70:C70"/>
    <mergeCell ref="A77:C77"/>
    <mergeCell ref="A83:C83"/>
    <mergeCell ref="A280:C280"/>
    <mergeCell ref="A286:C286"/>
    <mergeCell ref="A296:C296"/>
    <mergeCell ref="A1:C1"/>
    <mergeCell ref="A2:C2"/>
    <mergeCell ref="A10:C10"/>
    <mergeCell ref="A16:C16"/>
    <mergeCell ref="A32:C32"/>
    <mergeCell ref="A63:C6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Result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2025-11-12T12:36:28Z</dcterms:modified>
</cp:coreProperties>
</file>