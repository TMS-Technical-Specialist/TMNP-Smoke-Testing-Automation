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87A5AF3-EF8E-4F26-9F0C-F82B92606310}" xr6:coauthVersionLast="47" xr6:coauthVersionMax="47" xr10:uidLastSave="{00000000-0000-0000-0000-000000000000}"/>
  <bookViews>
    <workbookView xWindow="28680" yWindow="1560" windowWidth="29040" windowHeight="15720" activeTab="1" xr2:uid="{6CD556FE-C62F-4787-89A0-8DF20AA637B2}"/>
  </bookViews>
  <sheets>
    <sheet name="Chart1" sheetId="9" r:id="rId1"/>
    <sheet name="Test Result" sheetId="1" r:id="rId2"/>
    <sheet name="Sample" sheetId="2" r:id="rId3"/>
    <sheet name="Guardian" sheetId="5" r:id="rId4"/>
    <sheet name="Patient" sheetId="6" r:id="rId5"/>
    <sheet name="Patient Feeding Order" sheetId="7" r:id="rId6"/>
    <sheet name="Print &amp; Receive CollectionLabel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H1" i="1"/>
  <c r="I2" i="1"/>
  <c r="H2" i="1"/>
  <c r="E1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<sst xmlns="http://schemas.openxmlformats.org/spreadsheetml/2006/main" count="131" uniqueCount="108">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</sst>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1.xml"/><Relationship Id="rId16" Type="http://schemas.microsoft.com/office/2022/11/relationships/FeaturePropertyBag" Target="featurePropertyBag/featurePropertyBag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sheetMetadata" Target="metadata.xml"/><Relationship Id="rId5" Type="http://schemas.openxmlformats.org/officeDocument/2006/relationships/worksheet" Target="worksheets/sheet4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'Test Result'!$H$1:$I$1</c:f>
              <c:strCache>
                <c:ptCount val="2"/>
                <c:pt idx="0">
                  <c:v>Total: 26</c:v>
                </c:pt>
                <c:pt idx="1">
                  <c:v>Pass: 7</c:v>
                </c:pt>
              </c:strCache>
            </c:strRef>
          </c:cat>
          <c:val>
            <c:numRef>
              <c:f>'Test Result'!$H$2:$I$2</c:f>
              <c:numCache>
                <c:formatCode>General</c:formatCode>
                <c:ptCount val="2"/>
                <c:pt idx="0">
                  <c:v>26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7-407A-ABEF-C06068E34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2793487"/>
        <c:axId val="1552790607"/>
      </c:barChart>
      <c:catAx>
        <c:axId val="1552793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790607"/>
        <c:crosses val="autoZero"/>
        <c:auto val="1"/>
        <c:lblAlgn val="ctr"/>
        <c:lblOffset val="100"/>
        <c:noMultiLvlLbl val="0"/>
      </c:catAx>
      <c:valAx>
        <c:axId val="155279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79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Result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elete val="1"/>
          </c:dLbls>
          <c:cat>
            <c:strRef>
              <c:f>'Test Result'!$H$1:$I$1</c:f>
              <c:strCache>
                <c:ptCount val="2"/>
                <c:pt idx="0">
                  <c:v>Total: 26</c:v>
                </c:pt>
                <c:pt idx="1">
                  <c:v>Pass: 7</c:v>
                </c:pt>
              </c:strCache>
            </c:strRef>
          </c:cat>
          <c:val>
            <c:numRef>
              <c:f>'Test Result'!$H$2:$I$2</c:f>
              <c:numCache>
                <c:formatCode>General</c:formatCode>
                <c:ptCount val="2"/>
                <c:pt idx="0">
                  <c:v>26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32CE900-B13C-4FD3-BFDC-3D179798E7D8}">
  <sheetPr/>
  <sheetViews>
    <sheetView zoomScale="9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0826750" cy="786341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890DE8-8FD2-BA0C-46BB-2BEB0289520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6250305</xdr:colOff>
      <xdr:row>1</xdr:row>
      <xdr:rowOff>76200</xdr:rowOff>
    </xdr:from>
    <xdr:to>
      <xdr:col>8</xdr:col>
      <xdr:colOff>171450</xdr:colOff>
      <xdr:row>18</xdr:row>
      <xdr:rowOff>251459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I42"/>
  <sheetViews>
    <sheetView tabSelected="1" zoomScaleNormal="100" workbookViewId="0">
      <selection activeCell="E27" sqref="E27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24.33203125" customWidth="1"/>
  </cols>
  <sheetData>
    <row r="1" spans="1:9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86</v>
      </c>
      <c r="E1" s="24" t="str">
        <f>CONCATENATE("UPDATE = ", COUNTIF($C:$C,TRUE)," OUT OF ", COUNTA($C2:$C1009), " ", "PERCENT = ",ROUND((COUNTIF($C:$C,TRUE)/COUNTA($C2:$C1009))*100,2), "%")</f>
        <v>UPDATE = 7 OUT OF 26 PERCENT = 26.92%</v>
      </c>
      <c r="F1" s="1"/>
      <c r="H1" t="str">
        <f>_xlfn.CONCAT("Total: ", COUNTA($C2:$C1009))</f>
        <v>Total: 26</v>
      </c>
      <c r="I1" t="str">
        <f>_xlfn.CONCAT("Pass: ", COUNTIF($C:$C,TRUE))</f>
        <v>Pass: 7</v>
      </c>
    </row>
    <row r="2" spans="1:9" ht="15" thickBot="1" x14ac:dyDescent="0.35">
      <c r="A2" s="1" t="s">
        <v>3</v>
      </c>
      <c r="B2" s="27" t="s">
        <v>85</v>
      </c>
      <c r="C2" s="30" t="b">
        <v>1</v>
      </c>
      <c r="D2" s="26"/>
      <c r="H2">
        <f>COUNTA($C2:$C1009)</f>
        <v>26</v>
      </c>
      <c r="I2">
        <f>COUNTIF($C:$C,TRUE)</f>
        <v>7</v>
      </c>
    </row>
    <row r="3" spans="1:9" ht="15" thickBot="1" x14ac:dyDescent="0.35">
      <c r="A3" s="1"/>
      <c r="B3" s="27" t="s">
        <v>90</v>
      </c>
      <c r="C3" s="30" t="b">
        <v>0</v>
      </c>
    </row>
    <row r="4" spans="1:9" ht="15" thickBot="1" x14ac:dyDescent="0.35">
      <c r="B4" s="27" t="s">
        <v>92</v>
      </c>
      <c r="C4" s="30" t="b">
        <v>0</v>
      </c>
      <c r="D4" s="26"/>
    </row>
    <row r="5" spans="1:9" ht="15" thickBot="1" x14ac:dyDescent="0.35">
      <c r="A5" s="1"/>
      <c r="B5" s="27" t="s">
        <v>91</v>
      </c>
      <c r="C5" s="30" t="b">
        <v>0</v>
      </c>
      <c r="D5" s="26"/>
    </row>
    <row r="6" spans="1:9" ht="15" thickBot="1" x14ac:dyDescent="0.35">
      <c r="A6" s="1" t="s">
        <v>0</v>
      </c>
      <c r="B6" s="27" t="s">
        <v>1</v>
      </c>
      <c r="C6" s="30" t="b">
        <v>1</v>
      </c>
    </row>
    <row r="7" spans="1:9" ht="15" thickBot="1" x14ac:dyDescent="0.35">
      <c r="A7" s="1"/>
      <c r="B7" s="27" t="s">
        <v>2</v>
      </c>
      <c r="C7" s="30" t="b">
        <v>0</v>
      </c>
    </row>
    <row r="8" spans="1:9" ht="15.6" thickTop="1" thickBot="1" x14ac:dyDescent="0.35">
      <c r="A8" s="1"/>
      <c r="B8" s="28" t="s">
        <v>93</v>
      </c>
      <c r="C8" s="30" t="b">
        <v>0</v>
      </c>
    </row>
    <row r="9" spans="1:9" ht="15" thickBot="1" x14ac:dyDescent="0.35">
      <c r="A9" s="1"/>
      <c r="B9" s="29" t="s">
        <v>94</v>
      </c>
      <c r="C9" s="30" t="b">
        <v>0</v>
      </c>
    </row>
    <row r="10" spans="1:9" ht="15" thickBot="1" x14ac:dyDescent="0.35">
      <c r="A10" s="1"/>
      <c r="B10" s="29" t="s">
        <v>95</v>
      </c>
      <c r="C10" s="30" t="b">
        <v>0</v>
      </c>
    </row>
    <row r="11" spans="1:9" ht="15" thickBot="1" x14ac:dyDescent="0.35">
      <c r="A11" s="1"/>
      <c r="B11" s="29" t="s">
        <v>96</v>
      </c>
      <c r="C11" s="30" t="b">
        <v>0</v>
      </c>
    </row>
    <row r="12" spans="1:9" ht="15" thickBot="1" x14ac:dyDescent="0.35">
      <c r="A12" s="1"/>
      <c r="B12" s="29" t="s">
        <v>97</v>
      </c>
      <c r="C12" s="30" t="b">
        <v>0</v>
      </c>
    </row>
    <row r="13" spans="1:9" ht="15.6" thickTop="1" thickBot="1" x14ac:dyDescent="0.35">
      <c r="A13" s="1" t="s">
        <v>77</v>
      </c>
      <c r="B13" s="28" t="s">
        <v>100</v>
      </c>
      <c r="C13" s="30" t="b">
        <v>1</v>
      </c>
      <c r="D13" s="26"/>
    </row>
    <row r="14" spans="1:9" ht="15" thickBot="1" x14ac:dyDescent="0.35">
      <c r="A14" s="1"/>
      <c r="B14" s="29" t="s">
        <v>101</v>
      </c>
      <c r="C14" s="30" t="b">
        <v>0</v>
      </c>
      <c r="D14" s="26"/>
    </row>
    <row r="15" spans="1:9" ht="15.6" thickTop="1" thickBot="1" x14ac:dyDescent="0.35">
      <c r="A15" s="1"/>
      <c r="B15" s="28" t="s">
        <v>98</v>
      </c>
      <c r="C15" s="30" t="b">
        <v>0</v>
      </c>
      <c r="D15" s="26"/>
    </row>
    <row r="16" spans="1:9" ht="15" thickBot="1" x14ac:dyDescent="0.35">
      <c r="A16" s="1"/>
      <c r="B16" s="29" t="s">
        <v>99</v>
      </c>
      <c r="C16" s="30" t="b">
        <v>0</v>
      </c>
      <c r="D16" s="26"/>
    </row>
    <row r="17" spans="1:4" ht="15" thickBot="1" x14ac:dyDescent="0.35">
      <c r="A17" s="1" t="s">
        <v>78</v>
      </c>
      <c r="B17" s="27" t="s">
        <v>87</v>
      </c>
      <c r="C17" s="30" t="b">
        <v>1</v>
      </c>
      <c r="D17" s="26"/>
    </row>
    <row r="18" spans="1:4" ht="15" thickBot="1" x14ac:dyDescent="0.35">
      <c r="A18" s="1" t="s">
        <v>79</v>
      </c>
      <c r="B18" s="27" t="s">
        <v>88</v>
      </c>
      <c r="C18" s="30" t="b">
        <v>1</v>
      </c>
      <c r="D18" s="26"/>
    </row>
    <row r="19" spans="1:4" ht="27.6" thickTop="1" thickBot="1" x14ac:dyDescent="0.35">
      <c r="A19" s="1"/>
      <c r="B19" s="28" t="s">
        <v>102</v>
      </c>
      <c r="C19" s="30" t="b">
        <v>0</v>
      </c>
      <c r="D19" s="26"/>
    </row>
    <row r="20" spans="1:4" ht="15" thickBot="1" x14ac:dyDescent="0.35">
      <c r="A20" s="1"/>
      <c r="B20" s="29" t="s">
        <v>103</v>
      </c>
      <c r="C20" s="30" t="b">
        <v>0</v>
      </c>
      <c r="D20" s="26"/>
    </row>
    <row r="21" spans="1:4" ht="15" thickBot="1" x14ac:dyDescent="0.35">
      <c r="A21" s="1"/>
      <c r="B21" s="29" t="s">
        <v>104</v>
      </c>
      <c r="C21" s="30" t="b">
        <v>1</v>
      </c>
      <c r="D21" s="26"/>
    </row>
    <row r="22" spans="1:4" ht="15" thickBot="1" x14ac:dyDescent="0.35">
      <c r="A22" s="1"/>
      <c r="B22" s="29" t="s">
        <v>105</v>
      </c>
      <c r="C22" s="30" t="b">
        <v>1</v>
      </c>
      <c r="D22" s="26"/>
    </row>
    <row r="23" spans="1:4" ht="15" thickBot="1" x14ac:dyDescent="0.35">
      <c r="A23" s="1"/>
      <c r="B23" s="29" t="s">
        <v>106</v>
      </c>
      <c r="C23" s="30" t="b">
        <v>0</v>
      </c>
      <c r="D23" s="26"/>
    </row>
    <row r="24" spans="1:4" ht="15" thickBot="1" x14ac:dyDescent="0.35">
      <c r="A24" s="1"/>
      <c r="B24" s="29" t="s">
        <v>107</v>
      </c>
      <c r="C24" s="30" t="b">
        <v>0</v>
      </c>
      <c r="D24" s="26"/>
    </row>
    <row r="25" spans="1:4" ht="15" thickBot="1" x14ac:dyDescent="0.35">
      <c r="A25" s="1" t="s">
        <v>80</v>
      </c>
      <c r="B25" s="27" t="s">
        <v>89</v>
      </c>
      <c r="C25" s="30" t="b">
        <v>0</v>
      </c>
      <c r="D25" s="26"/>
    </row>
    <row r="26" spans="1:4" ht="15" thickBot="1" x14ac:dyDescent="0.35">
      <c r="A26" s="1" t="s">
        <v>81</v>
      </c>
      <c r="B26" s="27" t="s">
        <v>82</v>
      </c>
      <c r="C26" s="30" t="b">
        <v>0</v>
      </c>
      <c r="D26" s="26"/>
    </row>
    <row r="27" spans="1:4" ht="15" thickBot="1" x14ac:dyDescent="0.35">
      <c r="A27" s="1" t="s">
        <v>83</v>
      </c>
      <c r="B27" s="27" t="s">
        <v>84</v>
      </c>
      <c r="C27" s="30" t="b">
        <v>0</v>
      </c>
      <c r="D27" s="26"/>
    </row>
    <row r="28" spans="1:4" ht="15" customHeight="1" x14ac:dyDescent="0.3"/>
    <row r="29" spans="1:4" ht="15" customHeight="1" x14ac:dyDescent="0.3"/>
    <row r="30" spans="1:4" ht="15" customHeight="1" x14ac:dyDescent="0.3"/>
    <row r="31" spans="1:4" ht="15" customHeight="1" x14ac:dyDescent="0.3"/>
    <row r="32" spans="1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27.6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</sheetData>
  <conditionalFormatting sqref="C2:C27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6" t="s">
        <v>3</v>
      </c>
      <c r="B1" s="37"/>
      <c r="C1" s="37"/>
    </row>
    <row r="2" spans="1:4" ht="15.6" customHeight="1" x14ac:dyDescent="0.3">
      <c r="A2" s="38" t="s">
        <v>4</v>
      </c>
      <c r="B2" s="39"/>
      <c r="C2" s="39"/>
    </row>
    <row r="3" spans="1:4" ht="18" customHeight="1" x14ac:dyDescent="0.35">
      <c r="A3" s="31" t="s">
        <v>5</v>
      </c>
      <c r="B3" s="32"/>
      <c r="C3" s="32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6" t="s">
        <v>0</v>
      </c>
      <c r="B13" s="37"/>
      <c r="C13" s="37"/>
    </row>
    <row r="14" spans="1:4" ht="15.6" customHeight="1" x14ac:dyDescent="0.3">
      <c r="A14" s="38" t="s">
        <v>33</v>
      </c>
      <c r="B14" s="39"/>
      <c r="C14" s="39"/>
    </row>
    <row r="15" spans="1:4" ht="18" customHeight="1" x14ac:dyDescent="0.35">
      <c r="A15" s="31" t="s">
        <v>34</v>
      </c>
      <c r="B15" s="32"/>
      <c r="C15" s="32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3" t="s">
        <v>57</v>
      </c>
      <c r="B27" s="33"/>
      <c r="C27" s="33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4" t="s">
        <v>59</v>
      </c>
      <c r="B29" s="35"/>
      <c r="C29" s="35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2025-08-22T18:46:38Z</dcterms:modified>
</cp:coreProperties>
</file>