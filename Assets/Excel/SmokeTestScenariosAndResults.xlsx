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D05D9BE4-5F9F-47AA-853D-BD877BE6A68E}" xr6:coauthVersionLast="47" xr6:coauthVersionMax="47" xr10:uidLastSave="{00000000-0000-0000-0000-000000000000}"/>
  <bookViews>
    <workbookView xWindow="-108" yWindow="-108" windowWidth="23256" windowHeight="13896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/>
  <c r="T1" i="1"/>
  <c r="V2" i="1"/>
  <c r="W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<sst xmlns="http://schemas.openxmlformats.org/spreadsheetml/2006/main" count="174" uniqueCount="151">
  <si>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</si>
  <si>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</si>
  <si>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</si>
  <si>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</si>
  <si>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</si>
  <si>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</si>
  <si>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</si>
  <si>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</si>
  <si>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</si>
  <si>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</si>
  <si>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</si>
  <si>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</si>
  <si>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</si>
  <si>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</si>
  <si>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</si>
  <si>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</si>
  <si>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</si>
  <si>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</si>
  <si>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</si>
  <si>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</si>
  <si>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</si>
  <si>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</si>
  <si>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</si>
  <si>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</si>
  <si>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</si>
  <si>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</si>
  <si>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</si>
  <si>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</si>
  <si>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</si>
  <si>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</si>
  <si>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</si>
  <si>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</si>
  <si>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</si>
  <si>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</si>
  <si>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</si>
  <si>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</si>
  <si>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</si>
  <si>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</si>
  <si>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</si>
  <si>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</si>
  <si>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</si>
  <si>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</si>
  <si>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</si>
  <si>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</si>
  <si>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</si>
  <si>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</si>
  <si>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</si>
  <si>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</si>
  <si>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</si>
  <si>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</si>
  <si>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</si>
  <si>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</si>
  <si>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</si>
  <si>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</si>
  <si>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</si>
  <si>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</si>
  <si>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</si>
  <si>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</si>
  <si>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</si>
  <si>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</si>
  <si>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</si>
  <si>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</si>
  <si>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</si>
  <si>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</si>
  <si>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</si>
  <si>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</si>
  <si>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</si>
  <si>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</si>
  <si>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</si>
  <si>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</si>
  <si>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</si>
  <si>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</si>
  <si>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</si>
  <si>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</si>
  <si>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</si>
  <si>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</si>
  <si>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</si>
  <si>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</si>
  <si>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</si>
  <si>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</si>
  <si>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</si>
  <si>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</si>
  <si>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</si>
  <si>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</si>
  <si>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Add Guardian</t>
  </si>
  <si>
    <t>Print Guardian Container</t>
  </si>
  <si>
    <t>Guardian Container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</si>
  <si>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</si>
  <si>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</si>
  <si>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</si>
  <si>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</si>
  <si>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</si>
  <si>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</si>
  <si>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</si>
  <si>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</si>
  <si>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View Order</t>
  </si>
  <si>
    <t>Order List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</si>
  <si>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</si>
  <si>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</si>
  <si>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</si>
  <si>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</si>
  <si>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</si>
  <si>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</si>
  <si>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</si>
  <si>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</si>
  <si>
    <t>Scan fortified container multiple times</t>
  </si>
  <si>
    <t>Manage Guardian UI Verification</t>
  </si>
  <si>
    <t>Receive Human Milk - UI Verification</t>
  </si>
  <si>
    <t>EHM Only</t>
  </si>
  <si>
    <t>DHM Only</t>
  </si>
  <si>
    <t>EHM + DHM</t>
  </si>
  <si>
    <t>OIT</t>
  </si>
  <si>
    <t>Product +  Fortifier + Modular</t>
  </si>
  <si>
    <t>Product +  Fortifiers</t>
  </si>
  <si>
    <t>Sterile Water + Fortifier + Modular</t>
  </si>
  <si>
    <t>Product without Fortifier</t>
  </si>
  <si>
    <t>EHM +  Fortifiers</t>
  </si>
  <si>
    <t>EHM +  Fortifier + Modular</t>
  </si>
  <si>
    <t>DHM +  Fortifiers</t>
  </si>
  <si>
    <t>DHM +  Fortifier + Modular</t>
  </si>
  <si>
    <t>Sterile Water + Fortifiers</t>
  </si>
  <si>
    <t>EHM + DHM +  Fortifiers</t>
  </si>
  <si>
    <t>EHM or DHM + Fortifier + Modular</t>
  </si>
  <si>
    <t>Quick Feed</t>
  </si>
  <si>
    <t>Dispose</t>
  </si>
  <si>
    <t>Dispose Bottle</t>
  </si>
  <si>
    <t xml:space="preserve">•  Prepared EHM or DHM
•  Success Feed Patient Message
     • Expected output
        Container EHM00000F can now be fed to Patient BABY A TIMELESS and will be disposed of by the system.     • Actual output
       </t>
  </si>
  <si>
    <t xml:space="preserve">•  Prepared RTU without fortifier
•  feed/soft_stop_ebm_option_on_formula_feed app settings
     • Expected output
        Patient name and soft stop message should be displayed for FRM00000N =  True     • Actual output
       Selected Patient:Name: TIMELESS, BABY A (PT000001) 02/22/2024Unit: Unit1Room: 100Bed: 001
       FRM00000N ( - Enfamil Infant RTU):  This container  is a formula. It appears there is breast milk available for this Patient . Are you sure you want to feed the formula that you scanned?MessageID : ERROR_BOTTLE_AVAIlABLE_EBM_ORDER Please verify recent orders below or click "Previous" to select a new container, or "Finish" to feed this container.
•  Success Feed Patient Message
     • Expected output
        Container FRM00000N can now be fed to Patient BABY A TIMELESS and will be disposed of by the system.     • Actual output
       </t>
  </si>
  <si>
    <t xml:space="preserve">•  Prepared RTU + Fortifiers
•  feed/soft_stop_ebm_option_on_formula_feed app settings
     • Expected output
        Patient name and soft stop message should be displayed for FRM00000P =  True     • Actual output
       Selected Patient:Name: TIMELESS, BABY A (PT000001) 02/22/2024Unit: Unit1Room: 100Bed: 001
       FRM00000P ( - Enfamil Infant RTU):  This container  is a formula. It appears there is breast milk available for this Patient . Are you sure you want to feed the formula that you scanned?MessageID : ERROR_BOTTLE_AVAIlABLE_EBM_ORDER Please verify recent orders below or click "Previous" to select a new container, or "Finish" to feed this container.
•  Success Feed Patient Message
     • Expected output
        Container FRM00000P can now be fed to Patient BABY A TIMELESS and will be disposed of by the system.     • Actual output
       </t>
  </si>
  <si>
    <t xml:space="preserve">•  Prepared RTU + Fortifier + Modular
•  feed/soft_stop_ebm_option_on_formula_feed app settings
     • Expected output
        Patient name and soft stop message should be displayed for FRM00000R =  True     • Actual output
       Selected Patient:Name: TIMELESS, BABY A (PT000001) 02/22/2024Unit: Unit1Room: 100Bed: 001
       FRM00000R ( - Enfamil Infant RTU):  This container  is a formula. It appears there is breast milk available for this Patient . Are you sure you want to feed the formula that you scanned?MessageID : ERROR_BOTTLE_AVAIlABLE_EBM_ORDER Please verify recent orders below or click "Previous" to select a new container, or "Finish" to feed this container.
•  Success Feed Patient Message
     • Expected output
        Container FRM00000R can now be fed to Patient BABY A TIMELESS and will be disposed of by the system.     • Actual output
       </t>
  </si>
  <si>
    <t xml:space="preserve">•  Prepared Water + Fortifiers
•  feed/soft_stop_ebm_option_on_formula_feed app settings
     • Expected output
        Patient name and soft stop message should be displayed for FRM00000S =  True     • Actual output
       Selected Patient:Name: TIMELESS, BABY A (PT000001) 02/22/2024Unit: Unit1Room: 100Bed: 001
       FRM00000S ( - ):  This container  is a formula. It appears there is breast milk available for this Patient . Are you sure you want to feed the formula that you scanned?MessageID : ERROR_BOTTLE_AVAIlABLE_EBM_ORDER Please verify recent orders below or click "Previous" to select a new container, or "Finish" to feed this container.
•  Success Feed Patient Message
     • Expected output
        Container FRM00000S can now be fed to Patient BABY A TIMELESS and will be disposed of by the system.     • Actual output
       </t>
  </si>
  <si>
    <t>Feed EHM</t>
  </si>
  <si>
    <t>Feed EHM + Fortifiers</t>
  </si>
  <si>
    <t>Feed EHM + Fortifier + Modular</t>
  </si>
  <si>
    <t>Feed DHM</t>
  </si>
  <si>
    <t>Feed DHM + Fortifiers</t>
  </si>
  <si>
    <t>Feed DHM + Fortifier + Modular</t>
  </si>
  <si>
    <t>Feed EHM or DHM</t>
  </si>
  <si>
    <t>Feed EHM or DHM + Fortifiers</t>
  </si>
  <si>
    <t>Feed EHM or DHM + Fortifier + Modular</t>
  </si>
  <si>
    <t>Feed RTU without fortifier</t>
  </si>
  <si>
    <t>Feed RTU + Fortifiers</t>
  </si>
  <si>
    <t>Feed RTU + Fortifier + Modular</t>
  </si>
  <si>
    <t>Feed Water + Fortifiers</t>
  </si>
  <si>
    <t>Feed Water + Fortifier + Modular</t>
  </si>
  <si>
    <t>UI Verification</t>
  </si>
  <si>
    <t>Discharge</t>
  </si>
  <si>
    <t>Bottles</t>
  </si>
  <si>
    <t>Bags</t>
  </si>
  <si>
    <t>Send Milk Home</t>
  </si>
  <si>
    <t>Patient Discharge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</si>
</sst>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6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wrapText="1"/>
    </xf>
    <xf numFmtId="0" fontId="2" fillId="0" borderId="15" xfId="0" applyFont="1" applyBorder="1" applyAlignment="1">
      <alignment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'Test Result'!$T$1</c:f>
          <c:strCache>
            <c:ptCount val="1"/>
            <c:pt idx="0">
              <c:v>0 OUT OF 63 
PERCENT = 0%</c:v>
            </c:pt>
          </c:strCache>
        </c:strRef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8-4171-A39B-CB41D7E2E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8-4171-A39B-CB41D7E2EA38}"/>
              </c:ext>
            </c:extLst>
          </c:dPt>
          <c:dLbls>
            <c:delete val="1"/>
          </c:dLbls>
          <c:cat>
            <c:strRef>
              <c:f>'Test Result'!$V$1:$W$1</c:f>
              <c:strCache>
                <c:ptCount val="2"/>
                <c:pt idx="0">
                  <c:v>Failed or not yet done: 63</c:v>
                </c:pt>
                <c:pt idx="1">
                  <c:v>Passed: 0</c:v>
                </c:pt>
              </c:strCache>
            </c:strRef>
          </c:cat>
          <c:val>
            <c:numRef>
              <c:f>'Test Result'!$V$2:$W$2</c:f>
              <c:numCache>
                <c:formatCode>General</c:formatCode>
                <c:ptCount val="2"/>
                <c:pt idx="0">
                  <c:v>100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7408333</xdr:colOff>
      <xdr:row>1</xdr:row>
      <xdr:rowOff>31749</xdr:rowOff>
    </xdr:from>
    <xdr:to>
      <xdr:col>11</xdr:col>
      <xdr:colOff>277070</xdr:colOff>
      <xdr:row>21</xdr:row>
      <xdr:rowOff>171449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Custom 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FF0000"/>
      </a:accent1>
      <a:accent2>
        <a:srgbClr val="196B2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W68"/>
  <sheetViews>
    <sheetView tabSelected="1" topLeftCell="A51" zoomScale="80" zoomScaleNormal="80" workbookViewId="0">
      <selection activeCell="E60" sqref="E60:E62"/>
    </sheetView>
  </sheetViews>
  <sheetFormatPr defaultRowHeight="14.4" x14ac:dyDescent="0.3"/>
  <cols>
    <col min="1" max="1" width="27.88671875" bestFit="1" customWidth="1"/>
    <col min="2" max="2" width="25.5546875" customWidth="1"/>
    <col min="3" max="3" width="9.109375" customWidth="1"/>
    <col min="4" max="4" width="113" customWidth="1"/>
    <col min="5" max="5" width="45.44140625" customWidth="1"/>
    <col min="22" max="22" width="21.33203125" customWidth="1"/>
  </cols>
  <sheetData>
    <row r="1" spans="1:23" ht="29.4" customHeight="1" thickBot="1" x14ac:dyDescent="0.35">
      <c r="A1" s="24" t="s">
        <v>74</v>
      </c>
      <c r="B1" s="24" t="s">
        <v>75</v>
      </c>
      <c r="C1" s="24" t="s">
        <v>76</v>
      </c>
      <c r="D1" s="25"/>
      <c r="F1" s="1"/>
      <c r="T1" s="24" t="str">
        <f>CONCATENATE("", COUNTIF($C:$C,TRUE)," OUT OF ", COUNTA($C2:$C1035), " ", CHAR(10), "PERCENT = ",ROUND((COUNTIF($C:$C,TRUE)/COUNTA($C2:$C1035))*100,2), "%")</f>
        <v>0 OUT OF 63 
PERCENT = 0%</v>
      </c>
      <c r="V1" t="str">
        <f>_xlfn.CONCAT("Failed or not yet done: ", COUNTIF($C:$C,FALSE))</f>
        <v>Failed or not yet done: 63</v>
      </c>
      <c r="W1" t="str">
        <f>_xlfn.CONCAT("Passed: ", COUNTIF($C:$C,TRUE))</f>
        <v>Passed: 0</v>
      </c>
    </row>
    <row r="2" spans="1:23" ht="15" thickBot="1" x14ac:dyDescent="0.35">
      <c r="A2" s="1" t="s">
        <v>3</v>
      </c>
      <c r="B2" s="27" t="s">
        <v>84</v>
      </c>
      <c r="C2" s="30" t="b">
        <v>0</v>
      </c>
      <c r="D2" s="26"/>
      <c r="V2">
        <f>ROUND((COUNTIF($C:$C,FALSE)/COUNTA($C2:$C1035))*100,2)</f>
        <v>100</v>
      </c>
      <c r="W2">
        <f>ROUND((COUNTIF($C:$C,TRUE)/COUNTA($C2:$C1035))*100,2)</f>
        <v>0</v>
      </c>
    </row>
    <row r="3" spans="1:23" ht="15" thickBot="1" x14ac:dyDescent="0.35">
      <c r="A3" s="1"/>
      <c r="B3" s="27" t="s">
        <v>87</v>
      </c>
      <c r="C3" s="30" t="b">
        <v>0</v>
      </c>
    </row>
    <row r="4" spans="1:23" ht="15" thickBot="1" x14ac:dyDescent="0.35">
      <c r="B4" s="27" t="s">
        <v>89</v>
      </c>
      <c r="C4" s="30" t="b">
        <v>0</v>
      </c>
      <c r="D4" s="26"/>
    </row>
    <row r="5" spans="1:23" ht="15" thickBot="1" x14ac:dyDescent="0.35">
      <c r="A5" s="1"/>
      <c r="B5" s="27" t="s">
        <v>88</v>
      </c>
      <c r="C5" s="30" t="b">
        <v>0</v>
      </c>
      <c r="D5" s="26"/>
    </row>
    <row r="6" spans="1:23" ht="15" thickBot="1" x14ac:dyDescent="0.35">
      <c r="A6" s="1" t="s">
        <v>0</v>
      </c>
      <c r="B6" t="s">
        <v>106</v>
      </c>
      <c r="C6" s="30" t="b">
        <v>0</v>
      </c>
    </row>
    <row r="7" spans="1:23" ht="15" thickBot="1" x14ac:dyDescent="0.35">
      <c r="A7" s="1"/>
      <c r="B7" s="27" t="s">
        <v>1</v>
      </c>
      <c r="C7" s="30" t="b">
        <v>0</v>
      </c>
    </row>
    <row r="8" spans="1:23" ht="15" thickBot="1" x14ac:dyDescent="0.35">
      <c r="A8" s="1"/>
      <c r="B8" s="27" t="s">
        <v>2</v>
      </c>
      <c r="C8" s="30" t="b">
        <v>0</v>
      </c>
    </row>
    <row r="9" spans="1:23" ht="15.6" thickTop="1" thickBot="1" x14ac:dyDescent="0.35">
      <c r="A9" s="1"/>
      <c r="B9" s="28" t="s">
        <v>90</v>
      </c>
      <c r="C9" s="30" t="b">
        <v>0</v>
      </c>
    </row>
    <row r="10" spans="1:23" ht="15" thickBot="1" x14ac:dyDescent="0.35">
      <c r="A10" s="1"/>
      <c r="B10" s="29" t="s">
        <v>91</v>
      </c>
      <c r="C10" s="30" t="b">
        <v>0</v>
      </c>
    </row>
    <row r="11" spans="1:23" ht="15" thickBot="1" x14ac:dyDescent="0.35">
      <c r="A11" s="1"/>
      <c r="B11" s="29" t="s">
        <v>92</v>
      </c>
      <c r="C11" s="30" t="b">
        <v>0</v>
      </c>
    </row>
    <row r="12" spans="1:23" ht="15" thickBot="1" x14ac:dyDescent="0.35">
      <c r="A12" s="1"/>
      <c r="B12" s="29" t="s">
        <v>93</v>
      </c>
      <c r="C12" s="30" t="b">
        <v>0</v>
      </c>
    </row>
    <row r="13" spans="1:23" ht="15" thickBot="1" x14ac:dyDescent="0.35">
      <c r="A13" s="1"/>
      <c r="B13" s="29" t="s">
        <v>94</v>
      </c>
      <c r="C13" s="30" t="b">
        <v>0</v>
      </c>
    </row>
    <row r="14" spans="1:23" ht="15.6" thickTop="1" thickBot="1" x14ac:dyDescent="0.35">
      <c r="A14" s="1" t="s">
        <v>77</v>
      </c>
      <c r="B14" s="28" t="s">
        <v>97</v>
      </c>
      <c r="C14" s="30" t="b">
        <v>0</v>
      </c>
      <c r="D14" s="26"/>
    </row>
    <row r="15" spans="1:23" ht="15" thickBot="1" x14ac:dyDescent="0.35">
      <c r="A15" s="1"/>
      <c r="B15" s="29" t="s">
        <v>98</v>
      </c>
      <c r="C15" s="30" t="b">
        <v>0</v>
      </c>
      <c r="D15" s="26"/>
    </row>
    <row r="16" spans="1:23" ht="15.6" thickTop="1" thickBot="1" x14ac:dyDescent="0.35">
      <c r="A16" s="1"/>
      <c r="B16" s="28" t="s">
        <v>95</v>
      </c>
      <c r="C16" s="30" t="b">
        <v>0</v>
      </c>
      <c r="D16" s="26"/>
    </row>
    <row r="17" spans="1:4" ht="15" thickBot="1" x14ac:dyDescent="0.35">
      <c r="A17" s="1"/>
      <c r="B17" s="29" t="s">
        <v>96</v>
      </c>
      <c r="C17" s="30" t="b">
        <v>0</v>
      </c>
      <c r="D17" s="26"/>
    </row>
    <row r="18" spans="1:4" ht="15" thickBot="1" x14ac:dyDescent="0.35">
      <c r="A18" s="1" t="s">
        <v>78</v>
      </c>
      <c r="B18" s="27" t="s">
        <v>85</v>
      </c>
      <c r="C18" s="30" t="b">
        <v>0</v>
      </c>
      <c r="D18" s="26"/>
    </row>
    <row r="19" spans="1:4" ht="15" thickBot="1" x14ac:dyDescent="0.35">
      <c r="A19" s="1" t="s">
        <v>79</v>
      </c>
      <c r="B19" s="27" t="s">
        <v>86</v>
      </c>
      <c r="C19" s="30" t="b">
        <v>0</v>
      </c>
      <c r="D19" s="26"/>
    </row>
    <row r="20" spans="1:4" ht="27.6" thickTop="1" thickBot="1" x14ac:dyDescent="0.35">
      <c r="A20" s="1"/>
      <c r="B20" s="28" t="s">
        <v>99</v>
      </c>
      <c r="C20" s="30" t="b">
        <v>0</v>
      </c>
      <c r="D20" s="26"/>
    </row>
    <row r="21" spans="1:4" ht="15" thickBot="1" x14ac:dyDescent="0.35">
      <c r="A21" s="1"/>
      <c r="B21" s="29" t="s">
        <v>100</v>
      </c>
      <c r="C21" s="30" t="b">
        <v>0</v>
      </c>
      <c r="D21" s="26"/>
    </row>
    <row r="22" spans="1:4" ht="15" thickBot="1" x14ac:dyDescent="0.35">
      <c r="A22" s="1"/>
      <c r="B22" s="29" t="s">
        <v>101</v>
      </c>
      <c r="C22" s="30" t="b">
        <v>0</v>
      </c>
      <c r="D22" s="26"/>
    </row>
    <row r="23" spans="1:4" ht="15" thickBot="1" x14ac:dyDescent="0.35">
      <c r="A23" s="1"/>
      <c r="B23" s="29" t="s">
        <v>102</v>
      </c>
      <c r="C23" s="30" t="b">
        <v>0</v>
      </c>
      <c r="D23" s="26"/>
    </row>
    <row r="24" spans="1:4" ht="15" thickBot="1" x14ac:dyDescent="0.35">
      <c r="A24" s="1"/>
      <c r="B24" s="29" t="s">
        <v>103</v>
      </c>
      <c r="C24" s="30" t="b">
        <v>0</v>
      </c>
      <c r="D24" s="26"/>
    </row>
    <row r="25" spans="1:4" ht="15" thickBot="1" x14ac:dyDescent="0.35">
      <c r="A25" s="1"/>
      <c r="B25" s="29" t="s">
        <v>104</v>
      </c>
      <c r="C25" s="30" t="b">
        <v>0</v>
      </c>
      <c r="D25" s="26"/>
    </row>
    <row r="26" spans="1:4" ht="27" thickBot="1" x14ac:dyDescent="0.35">
      <c r="A26" s="1"/>
      <c r="B26" s="33" t="s">
        <v>107</v>
      </c>
      <c r="C26" s="30" t="b">
        <v>0</v>
      </c>
      <c r="D26" s="26"/>
    </row>
    <row r="27" spans="1:4" ht="15" thickBot="1" x14ac:dyDescent="0.35">
      <c r="A27" s="1" t="s">
        <v>80</v>
      </c>
      <c r="B27" s="33" t="s">
        <v>108</v>
      </c>
      <c r="C27" s="30" t="b">
        <v>0</v>
      </c>
      <c r="D27" s="26"/>
    </row>
    <row r="28" spans="1:4" ht="15" thickBot="1" x14ac:dyDescent="0.35">
      <c r="A28" s="1"/>
      <c r="B28" s="33" t="s">
        <v>116</v>
      </c>
      <c r="C28" s="30" t="b">
        <v>0</v>
      </c>
      <c r="D28" s="26"/>
    </row>
    <row r="29" spans="1:4" ht="15" thickBot="1" x14ac:dyDescent="0.35">
      <c r="A29" s="1"/>
      <c r="B29" s="33" t="s">
        <v>117</v>
      </c>
      <c r="C29" s="30" t="b">
        <v>0</v>
      </c>
      <c r="D29" s="26"/>
    </row>
    <row r="30" spans="1:4" ht="15" thickBot="1" x14ac:dyDescent="0.35">
      <c r="A30" s="1"/>
      <c r="B30" s="33" t="s">
        <v>109</v>
      </c>
      <c r="C30" s="30" t="b">
        <v>0</v>
      </c>
      <c r="D30" s="26"/>
    </row>
    <row r="31" spans="1:4" ht="15.6" customHeight="1" thickBot="1" x14ac:dyDescent="0.35">
      <c r="A31" s="1"/>
      <c r="B31" s="33" t="s">
        <v>118</v>
      </c>
      <c r="C31" s="30" t="b">
        <v>0</v>
      </c>
      <c r="D31" s="26"/>
    </row>
    <row r="32" spans="1:4" ht="15.6" customHeight="1" thickBot="1" x14ac:dyDescent="0.35">
      <c r="A32" s="1"/>
      <c r="B32" s="33" t="s">
        <v>119</v>
      </c>
      <c r="C32" s="30" t="b">
        <v>0</v>
      </c>
      <c r="D32" s="26"/>
    </row>
    <row r="33" spans="1:4" ht="15" thickBot="1" x14ac:dyDescent="0.35">
      <c r="A33" s="1"/>
      <c r="B33" s="33" t="s">
        <v>110</v>
      </c>
      <c r="C33" s="30" t="b">
        <v>0</v>
      </c>
      <c r="D33" s="26"/>
    </row>
    <row r="34" spans="1:4" ht="15" thickBot="1" x14ac:dyDescent="0.35">
      <c r="A34" s="1"/>
      <c r="B34" s="31" t="s">
        <v>121</v>
      </c>
      <c r="C34" s="30" t="b">
        <v>0</v>
      </c>
      <c r="D34" s="26"/>
    </row>
    <row r="35" spans="1:4" ht="27" thickBot="1" x14ac:dyDescent="0.35">
      <c r="A35" s="1"/>
      <c r="B35" s="31" t="s">
        <v>122</v>
      </c>
      <c r="C35" s="30" t="b">
        <v>0</v>
      </c>
      <c r="D35" s="26"/>
    </row>
    <row r="36" spans="1:4" ht="15" thickBot="1" x14ac:dyDescent="0.35">
      <c r="A36" s="1"/>
      <c r="B36" s="31" t="s">
        <v>115</v>
      </c>
      <c r="C36" s="30" t="b">
        <v>0</v>
      </c>
      <c r="D36" s="26"/>
    </row>
    <row r="37" spans="1:4" ht="15" thickBot="1" x14ac:dyDescent="0.35">
      <c r="A37" s="1"/>
      <c r="B37" s="31" t="s">
        <v>113</v>
      </c>
      <c r="C37" s="30" t="b">
        <v>0</v>
      </c>
      <c r="D37" s="26"/>
    </row>
    <row r="38" spans="1:4" ht="15" thickBot="1" x14ac:dyDescent="0.35">
      <c r="A38" s="1"/>
      <c r="B38" s="31" t="s">
        <v>112</v>
      </c>
      <c r="C38" s="30" t="b">
        <v>0</v>
      </c>
      <c r="D38" s="26"/>
    </row>
    <row r="39" spans="1:4" ht="15" thickBot="1" x14ac:dyDescent="0.35">
      <c r="A39" s="1"/>
      <c r="B39" s="31" t="s">
        <v>120</v>
      </c>
      <c r="C39" s="30" t="b">
        <v>0</v>
      </c>
      <c r="D39" s="26"/>
    </row>
    <row r="40" spans="1:4" ht="27" thickBot="1" x14ac:dyDescent="0.35">
      <c r="A40" s="1"/>
      <c r="B40" s="31" t="s">
        <v>114</v>
      </c>
      <c r="C40" s="30" t="b">
        <v>0</v>
      </c>
      <c r="D40" s="26"/>
    </row>
    <row r="41" spans="1:4" ht="15" thickBot="1" x14ac:dyDescent="0.35">
      <c r="B41" s="31" t="s">
        <v>111</v>
      </c>
      <c r="C41" s="30" t="b">
        <v>0</v>
      </c>
      <c r="D41" s="26"/>
    </row>
    <row r="42" spans="1:4" ht="15" thickBot="1" x14ac:dyDescent="0.35">
      <c r="A42" s="1" t="s">
        <v>81</v>
      </c>
      <c r="B42" s="27" t="s">
        <v>82</v>
      </c>
      <c r="C42" s="30" t="b">
        <v>0</v>
      </c>
      <c r="D42" s="26"/>
    </row>
    <row r="43" spans="1:4" ht="27" thickBot="1" x14ac:dyDescent="0.35">
      <c r="A43" s="1"/>
      <c r="B43" s="27" t="s">
        <v>105</v>
      </c>
      <c r="C43" s="30" t="b">
        <v>0</v>
      </c>
      <c r="D43" s="26"/>
    </row>
    <row r="44" spans="1:4" ht="15" thickBot="1" x14ac:dyDescent="0.35">
      <c r="A44" s="1" t="s">
        <v>83</v>
      </c>
      <c r="B44" s="34" t="s">
        <v>123</v>
      </c>
      <c r="C44" s="30" t="b">
        <v>0</v>
      </c>
      <c r="D44" s="26"/>
    </row>
    <row r="45" spans="1:4" ht="15" thickBot="1" x14ac:dyDescent="0.35">
      <c r="A45" s="1"/>
      <c r="B45" s="34" t="s">
        <v>131</v>
      </c>
      <c r="C45" s="30" t="b">
        <v>0</v>
      </c>
      <c r="D45" s="26"/>
    </row>
    <row r="46" spans="1:4" ht="15" thickBot="1" x14ac:dyDescent="0.35">
      <c r="B46" s="34" t="s">
        <v>132</v>
      </c>
      <c r="C46" s="30" t="b">
        <v>0</v>
      </c>
      <c r="D46" s="26"/>
    </row>
    <row r="47" spans="1:4" ht="27" thickBot="1" x14ac:dyDescent="0.35">
      <c r="A47" s="1"/>
      <c r="B47" s="34" t="s">
        <v>133</v>
      </c>
      <c r="C47" s="30" t="b">
        <v>0</v>
      </c>
      <c r="D47" s="26"/>
    </row>
    <row r="48" spans="1:4" ht="15" thickBot="1" x14ac:dyDescent="0.35">
      <c r="A48" s="1"/>
      <c r="B48" s="34" t="s">
        <v>134</v>
      </c>
      <c r="C48" s="30" t="b">
        <v>0</v>
      </c>
      <c r="D48" s="26"/>
    </row>
    <row r="49" spans="1:4" ht="15" thickBot="1" x14ac:dyDescent="0.35">
      <c r="A49" s="1"/>
      <c r="B49" s="34" t="s">
        <v>135</v>
      </c>
      <c r="C49" s="30" t="b">
        <v>0</v>
      </c>
      <c r="D49" s="26"/>
    </row>
    <row r="50" spans="1:4" ht="27" thickBot="1" x14ac:dyDescent="0.35">
      <c r="A50" s="1"/>
      <c r="B50" s="34" t="s">
        <v>136</v>
      </c>
      <c r="C50" s="30" t="b">
        <v>0</v>
      </c>
      <c r="D50" s="26"/>
    </row>
    <row r="51" spans="1:4" ht="15" customHeight="1" x14ac:dyDescent="0.3">
      <c r="A51" s="35"/>
      <c r="B51" s="36" t="s">
        <v>137</v>
      </c>
      <c r="C51" s="30" t="b">
        <v>0</v>
      </c>
      <c r="D51" s="26" t="s">
        <v>126</v>
      </c>
    </row>
    <row r="52" spans="1:4" ht="26.4" x14ac:dyDescent="0.3">
      <c r="A52" s="35"/>
      <c r="B52" s="36" t="s">
        <v>138</v>
      </c>
      <c r="C52" s="30" t="b">
        <v>0</v>
      </c>
      <c r="D52" s="26"/>
    </row>
    <row r="53" spans="1:4" ht="26.4" x14ac:dyDescent="0.3">
      <c r="A53" s="35"/>
      <c r="B53" s="36" t="s">
        <v>139</v>
      </c>
      <c r="C53" s="30" t="b">
        <v>0</v>
      </c>
      <c r="D53" s="26"/>
    </row>
    <row r="54" spans="1:4" ht="15" customHeight="1" x14ac:dyDescent="0.3">
      <c r="A54" s="35"/>
      <c r="B54" s="36" t="s">
        <v>140</v>
      </c>
      <c r="C54" s="30" t="b">
        <v>0</v>
      </c>
      <c r="D54" s="26" t="s">
        <v>127</v>
      </c>
    </row>
    <row r="55" spans="1:4" ht="15" customHeight="1" x14ac:dyDescent="0.3">
      <c r="A55" s="35"/>
      <c r="B55" s="36" t="s">
        <v>141</v>
      </c>
      <c r="C55" s="30" t="b">
        <v>0</v>
      </c>
      <c r="D55" s="26" t="s">
        <v>128</v>
      </c>
    </row>
    <row r="56" spans="1:4" ht="15" customHeight="1" x14ac:dyDescent="0.3">
      <c r="A56" s="35"/>
      <c r="B56" s="36" t="s">
        <v>142</v>
      </c>
      <c r="C56" s="30" t="b">
        <v>0</v>
      </c>
      <c r="D56" s="26" t="s">
        <v>129</v>
      </c>
    </row>
    <row r="57" spans="1:4" ht="15" customHeight="1" x14ac:dyDescent="0.3">
      <c r="A57" s="35"/>
      <c r="B57" s="36" t="s">
        <v>143</v>
      </c>
      <c r="C57" s="30" t="b">
        <v>0</v>
      </c>
      <c r="D57" s="26" t="s">
        <v>130</v>
      </c>
    </row>
    <row r="58" spans="1:4" ht="27.6" customHeight="1" x14ac:dyDescent="0.3">
      <c r="A58" s="35"/>
      <c r="B58" s="36" t="s">
        <v>144</v>
      </c>
      <c r="C58" s="30" t="b">
        <v>0</v>
      </c>
      <c r="D58" s="26"/>
    </row>
    <row r="59" spans="1:4" ht="15" thickBot="1" x14ac:dyDescent="0.35">
      <c r="A59" s="35"/>
      <c r="B59" s="36" t="s">
        <v>145</v>
      </c>
      <c r="C59" s="30" t="b">
        <v>0</v>
      </c>
      <c r="D59" s="26"/>
    </row>
    <row r="60" spans="1:4" ht="15" thickBot="1" x14ac:dyDescent="0.35">
      <c r="A60" s="34" t="s">
        <v>146</v>
      </c>
      <c r="B60" s="34" t="s">
        <v>150</v>
      </c>
      <c r="C60" s="30" t="b">
        <v>0</v>
      </c>
      <c r="D60" s="26"/>
    </row>
    <row r="61" spans="1:4" ht="15" thickBot="1" x14ac:dyDescent="0.35">
      <c r="A61" s="34"/>
      <c r="B61" s="34" t="s">
        <v>147</v>
      </c>
      <c r="C61" s="30" t="b">
        <v>0</v>
      </c>
      <c r="D61" s="26"/>
    </row>
    <row r="62" spans="1:4" ht="15" thickBot="1" x14ac:dyDescent="0.35">
      <c r="A62" s="34"/>
      <c r="B62" s="34" t="s">
        <v>148</v>
      </c>
      <c r="C62" s="30" t="b">
        <v>0</v>
      </c>
      <c r="D62" s="26"/>
    </row>
    <row r="63" spans="1:4" ht="15" thickBot="1" x14ac:dyDescent="0.35">
      <c r="A63" s="34"/>
      <c r="B63" s="34" t="s">
        <v>149</v>
      </c>
      <c r="C63" s="30" t="b">
        <v>0</v>
      </c>
      <c r="D63" s="26"/>
    </row>
    <row r="64" spans="1:4" ht="15" customHeight="1" x14ac:dyDescent="0.3">
      <c r="A64" t="s">
        <v>124</v>
      </c>
      <c r="B64" s="32" t="s">
        <v>125</v>
      </c>
      <c r="C64" s="30" t="b">
        <v>0</v>
      </c>
    </row>
    <row r="65" ht="15" customHeight="1" x14ac:dyDescent="0.3"/>
    <row r="66" ht="15" customHeight="1" x14ac:dyDescent="0.3"/>
    <row r="67" ht="15" customHeight="1" x14ac:dyDescent="0.3"/>
    <row r="68" ht="15" customHeight="1" x14ac:dyDescent="0.3"/>
  </sheetData>
  <conditionalFormatting sqref="C2:C64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4.4" x14ac:dyDescent="0.3"/>
  <cols>
    <col min="1" max="1" width="15.44140625" customWidth="1"/>
    <col min="2" max="2" width="46.33203125" customWidth="1"/>
    <col min="3" max="3" width="59.5546875" customWidth="1"/>
  </cols>
  <sheetData>
    <row r="1" spans="1:4" ht="21" customHeight="1" x14ac:dyDescent="0.4">
      <c r="A1" s="42" t="s">
        <v>3</v>
      </c>
      <c r="B1" s="43"/>
      <c r="C1" s="43"/>
    </row>
    <row r="2" spans="1:4" ht="15.6" customHeight="1" x14ac:dyDescent="0.3">
      <c r="A2" s="44" t="s">
        <v>4</v>
      </c>
      <c r="B2" s="45"/>
      <c r="C2" s="45"/>
    </row>
    <row r="3" spans="1:4" ht="18" customHeight="1" x14ac:dyDescent="0.35">
      <c r="A3" s="37" t="s">
        <v>5</v>
      </c>
      <c r="B3" s="38"/>
      <c r="C3" s="38"/>
    </row>
    <row r="4" spans="1:4" x14ac:dyDescent="0.3">
      <c r="A4" s="2" t="s">
        <v>6</v>
      </c>
      <c r="B4" s="22" t="s">
        <v>7</v>
      </c>
      <c r="C4" s="2" t="s">
        <v>8</v>
      </c>
    </row>
    <row r="5" spans="1:4" x14ac:dyDescent="0.3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3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3">
      <c r="A7" s="3" t="s">
        <v>15</v>
      </c>
      <c r="B7" s="5" t="s">
        <v>16</v>
      </c>
      <c r="C7" s="5" t="s">
        <v>17</v>
      </c>
    </row>
    <row r="8" spans="1:4" x14ac:dyDescent="0.3">
      <c r="A8" s="3" t="s">
        <v>18</v>
      </c>
      <c r="B8" s="5" t="s">
        <v>19</v>
      </c>
      <c r="C8" s="5" t="s">
        <v>20</v>
      </c>
    </row>
    <row r="9" spans="1:4" x14ac:dyDescent="0.3">
      <c r="A9" s="3" t="s">
        <v>21</v>
      </c>
      <c r="B9" s="4" t="s">
        <v>22</v>
      </c>
      <c r="C9" s="4" t="s">
        <v>23</v>
      </c>
    </row>
    <row r="10" spans="1:4" ht="28.95" customHeight="1" x14ac:dyDescent="0.3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5" customHeight="1" x14ac:dyDescent="0.3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3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4">
      <c r="A13" s="42" t="s">
        <v>0</v>
      </c>
      <c r="B13" s="43"/>
      <c r="C13" s="43"/>
    </row>
    <row r="14" spans="1:4" ht="15.6" customHeight="1" x14ac:dyDescent="0.3">
      <c r="A14" s="44" t="s">
        <v>33</v>
      </c>
      <c r="B14" s="45"/>
      <c r="C14" s="45"/>
    </row>
    <row r="15" spans="1:4" ht="18" customHeight="1" x14ac:dyDescent="0.35">
      <c r="A15" s="37" t="s">
        <v>34</v>
      </c>
      <c r="B15" s="38"/>
      <c r="C15" s="38"/>
    </row>
    <row r="16" spans="1:4" x14ac:dyDescent="0.3">
      <c r="A16" s="2" t="s">
        <v>6</v>
      </c>
      <c r="B16" s="22" t="s">
        <v>7</v>
      </c>
      <c r="C16" s="2" t="s">
        <v>8</v>
      </c>
    </row>
    <row r="17" spans="1:4" x14ac:dyDescent="0.3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3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3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3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3">
      <c r="A21" s="3" t="s">
        <v>21</v>
      </c>
      <c r="B21" s="5" t="s">
        <v>43</v>
      </c>
      <c r="C21" s="5" t="s">
        <v>44</v>
      </c>
    </row>
    <row r="22" spans="1:4" ht="28.95" customHeight="1" x14ac:dyDescent="0.3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3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2" customHeight="1" x14ac:dyDescent="0.3">
      <c r="A24" s="3" t="s">
        <v>30</v>
      </c>
      <c r="B24" s="4" t="s">
        <v>49</v>
      </c>
      <c r="C24" s="4" t="s">
        <v>50</v>
      </c>
    </row>
    <row r="25" spans="1:4" ht="28.95" customHeight="1" x14ac:dyDescent="0.3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3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3">
      <c r="A27" s="39" t="s">
        <v>57</v>
      </c>
      <c r="B27" s="39"/>
      <c r="C27" s="39"/>
    </row>
    <row r="28" spans="1:4" ht="15.6" customHeight="1" x14ac:dyDescent="0.3">
      <c r="A28" s="6" t="s">
        <v>58</v>
      </c>
      <c r="B28" s="7"/>
      <c r="C28" s="8"/>
    </row>
    <row r="29" spans="1:4" ht="18" customHeight="1" x14ac:dyDescent="0.3">
      <c r="A29" s="40" t="s">
        <v>59</v>
      </c>
      <c r="B29" s="41"/>
      <c r="C29" s="41"/>
    </row>
    <row r="30" spans="1:4" x14ac:dyDescent="0.3">
      <c r="A30" s="9" t="s">
        <v>6</v>
      </c>
      <c r="B30" s="22" t="s">
        <v>7</v>
      </c>
      <c r="C30" s="9" t="s">
        <v>8</v>
      </c>
    </row>
    <row r="31" spans="1:4" ht="28.95" customHeight="1" x14ac:dyDescent="0.3">
      <c r="A31" s="10" t="s">
        <v>9</v>
      </c>
      <c r="B31" s="11" t="s">
        <v>60</v>
      </c>
      <c r="C31" s="12" t="s">
        <v>61</v>
      </c>
    </row>
    <row r="32" spans="1:4" x14ac:dyDescent="0.3">
      <c r="A32" s="13" t="s">
        <v>12</v>
      </c>
      <c r="B32" t="s">
        <v>62</v>
      </c>
      <c r="C32" t="s">
        <v>63</v>
      </c>
    </row>
    <row r="33" spans="1:4" x14ac:dyDescent="0.3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3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3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5" customHeight="1" x14ac:dyDescent="0.3">
      <c r="A36" s="10" t="s">
        <v>24</v>
      </c>
      <c r="B36" s="19" t="s">
        <v>70</v>
      </c>
      <c r="C36" s="19" t="s">
        <v>71</v>
      </c>
    </row>
    <row r="37" spans="1:4" x14ac:dyDescent="0.3">
      <c r="A37" s="10" t="s">
        <v>27</v>
      </c>
      <c r="B37" s="4" t="s">
        <v>72</v>
      </c>
      <c r="C37" s="4" t="s">
        <v>73</v>
      </c>
    </row>
    <row r="38" spans="1:4" x14ac:dyDescent="0.3">
      <c r="A38" s="20"/>
    </row>
    <row r="39" spans="1:4" x14ac:dyDescent="0.3">
      <c r="A39" s="20"/>
      <c r="B39" s="23"/>
      <c r="C39" s="21"/>
    </row>
    <row r="40" spans="1:4" x14ac:dyDescent="0.3">
      <c r="A40" s="20"/>
      <c r="B40" s="23"/>
      <c r="C40" s="23"/>
    </row>
    <row r="41" spans="1:4" x14ac:dyDescent="0.3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2025-10-22T09:12:50Z</dcterms:modified>
</cp:coreProperties>
</file>